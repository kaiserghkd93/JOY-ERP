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자체생산" sheetId="1" state="visible" r:id="rId1"/>
    <sheet xmlns:r="http://schemas.openxmlformats.org/officeDocument/2006/relationships" name="외주처" sheetId="2" state="visible" r:id="rId2"/>
    <sheet xmlns:r="http://schemas.openxmlformats.org/officeDocument/2006/relationships" name="종합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11111"/>
      <sz val="9"/>
    </font>
    <font>
      <name val="Arial"/>
      <b val="1"/>
      <color rgb="00166534"/>
      <sz val="9"/>
    </font>
    <font>
      <name val="Arial"/>
      <b val="1"/>
      <color rgb="00FFFFFF"/>
      <sz val="10"/>
    </font>
    <font>
      <name val="Arial"/>
      <b val="1"/>
      <sz val="9"/>
    </font>
    <font>
      <name val="Arial"/>
      <b val="1"/>
      <color rgb="00166534"/>
      <sz val="10"/>
    </font>
    <font>
      <name val="Arial"/>
      <i val="1"/>
      <color rgb="0064748B"/>
      <sz val="8"/>
    </font>
    <font>
      <name val="Arial"/>
      <b val="1"/>
      <color rgb="00111111"/>
      <sz val="9"/>
    </font>
    <font>
      <name val="Arial"/>
      <b val="1"/>
      <color rgb="00FFFFFF"/>
      <sz val="13"/>
    </font>
    <font>
      <name val="Arial"/>
      <b val="1"/>
      <color rgb="001E293B"/>
      <sz val="9"/>
    </font>
    <font>
      <name val="Arial"/>
      <color rgb="0064748B"/>
      <sz val="9"/>
    </font>
  </fonts>
  <fills count="8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1D4ED8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6B21A8"/>
      </patternFill>
    </fill>
    <fill>
      <patternFill patternType="solid">
        <fgColor rgb="0092400E"/>
      </patternFill>
    </fill>
  </fills>
  <borders count="4">
    <border>
      <left/>
      <right/>
      <top/>
      <bottom/>
      <diagonal/>
    </border>
    <border>
      <left style="thin">
        <color rgb="00FFFFFF"/>
      </left>
      <right style="thin">
        <color rgb="00FFFFFF"/>
      </right>
      <bottom style="medium">
        <color rgb="00FFFFFF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medium">
        <color rgb="0094A3B8"/>
      </left>
      <right style="medium">
        <color rgb="0094A3B8"/>
      </right>
      <top style="medium">
        <color rgb="0094A3B8"/>
      </top>
      <bottom style="medium">
        <color rgb="0094A3B8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/>
    </xf>
    <xf numFmtId="3" fontId="4" fillId="4" borderId="2" applyAlignment="1" pivotButton="0" quotePrefix="0" xfId="0">
      <alignment horizontal="right" vertical="center"/>
    </xf>
    <xf numFmtId="3" fontId="5" fillId="4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left" vertical="center"/>
    </xf>
    <xf numFmtId="3" fontId="4" fillId="5" borderId="2" applyAlignment="1" pivotButton="0" quotePrefix="0" xfId="0">
      <alignment horizontal="right" vertical="center"/>
    </xf>
    <xf numFmtId="3" fontId="5" fillId="5" borderId="2" applyAlignment="1" pivotButton="0" quotePrefix="0" xfId="0">
      <alignment horizontal="right" vertical="center"/>
    </xf>
    <xf numFmtId="0" fontId="6" fillId="3" borderId="3" applyAlignment="1" pivotButton="0" quotePrefix="0" xfId="0">
      <alignment horizontal="center" vertical="center"/>
    </xf>
    <xf numFmtId="3" fontId="6" fillId="3" borderId="3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/>
    </xf>
    <xf numFmtId="164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2" fillId="6" borderId="0" applyAlignment="1" pivotButton="0" quotePrefix="0" xfId="0">
      <alignment horizontal="left" vertical="center" indent="1"/>
    </xf>
    <xf numFmtId="0" fontId="3" fillId="6" borderId="1" applyAlignment="1" pivotButton="0" quotePrefix="0" xfId="0">
      <alignment horizontal="center" vertical="center" wrapText="1"/>
    </xf>
    <xf numFmtId="3" fontId="10" fillId="4" borderId="2" applyAlignment="1" pivotButton="0" quotePrefix="0" xfId="0">
      <alignment horizontal="right" vertical="center"/>
    </xf>
    <xf numFmtId="3" fontId="10" fillId="5" borderId="2" applyAlignment="1" pivotButton="0" quotePrefix="0" xfId="0">
      <alignment horizontal="right" vertical="center"/>
    </xf>
    <xf numFmtId="0" fontId="6" fillId="6" borderId="3" applyAlignment="1" pivotButton="0" quotePrefix="0" xfId="0">
      <alignment horizontal="center" vertical="center"/>
    </xf>
    <xf numFmtId="3" fontId="6" fillId="6" borderId="3" applyAlignment="1" pivotButton="0" quotePrefix="0" xfId="0">
      <alignment horizontal="right" vertical="center"/>
    </xf>
    <xf numFmtId="0" fontId="11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left" vertical="center" indent="1"/>
    </xf>
    <xf numFmtId="0" fontId="3" fillId="3" borderId="2" applyAlignment="1" pivotButton="0" quotePrefix="0" xfId="0">
      <alignment horizontal="center" vertical="center"/>
    </xf>
    <xf numFmtId="49" fontId="4" fillId="4" borderId="2" applyAlignment="1" pivotButton="0" quotePrefix="0" xfId="0">
      <alignment horizontal="left" vertical="center"/>
    </xf>
    <xf numFmtId="164" fontId="5" fillId="4" borderId="2" applyAlignment="1" pivotButton="0" quotePrefix="0" xfId="0">
      <alignment horizontal="right" vertical="center"/>
    </xf>
    <xf numFmtId="49" fontId="4" fillId="5" borderId="2" applyAlignment="1" pivotButton="0" quotePrefix="0" xfId="0">
      <alignment horizontal="left" vertical="center"/>
    </xf>
    <xf numFmtId="164" fontId="5" fillId="5" borderId="2" applyAlignment="1" pivotButton="0" quotePrefix="0" xfId="0">
      <alignment horizontal="right" vertical="center"/>
    </xf>
    <xf numFmtId="0" fontId="3" fillId="3" borderId="3" applyAlignment="1" pivotButton="0" quotePrefix="0" xfId="0">
      <alignment horizontal="center" vertical="center"/>
    </xf>
    <xf numFmtId="3" fontId="3" fillId="3" borderId="3" applyAlignment="1" pivotButton="0" quotePrefix="0" xfId="0">
      <alignment horizontal="right" vertical="center"/>
    </xf>
    <xf numFmtId="164" fontId="3" fillId="3" borderId="3" applyAlignment="1" pivotButton="0" quotePrefix="0" xfId="0">
      <alignment horizontal="center" vertical="center"/>
    </xf>
    <xf numFmtId="0" fontId="6" fillId="6" borderId="0" applyAlignment="1" pivotButton="0" quotePrefix="0" xfId="0">
      <alignment horizontal="left" vertical="center" indent="1"/>
    </xf>
    <xf numFmtId="0" fontId="3" fillId="6" borderId="2" applyAlignment="1" pivotButton="0" quotePrefix="0" xfId="0">
      <alignment horizontal="center" vertical="center"/>
    </xf>
    <xf numFmtId="0" fontId="3" fillId="6" borderId="3" applyAlignment="1" pivotButton="0" quotePrefix="0" xfId="0">
      <alignment horizontal="center" vertical="center"/>
    </xf>
    <xf numFmtId="3" fontId="3" fillId="6" borderId="3" applyAlignment="1" pivotButton="0" quotePrefix="0" xfId="0">
      <alignment horizontal="right" vertical="center"/>
    </xf>
    <xf numFmtId="164" fontId="3" fillId="6" borderId="3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 indent="1"/>
    </xf>
    <xf numFmtId="0" fontId="3" fillId="2" borderId="2" applyAlignment="1" pivotButton="0" quotePrefix="0" xfId="0">
      <alignment horizontal="center" vertical="center"/>
    </xf>
    <xf numFmtId="49" fontId="3" fillId="2" borderId="2" applyAlignment="1" pivotButton="0" quotePrefix="0" xfId="0">
      <alignment horizontal="left" vertical="center"/>
    </xf>
    <xf numFmtId="3" fontId="3" fillId="2" borderId="2" applyAlignment="1" pivotButton="0" quotePrefix="0" xfId="0">
      <alignment horizontal="right" vertical="center"/>
    </xf>
    <xf numFmtId="164" fontId="3" fillId="2" borderId="2" applyAlignment="1" pivotButton="0" quotePrefix="0" xfId="0">
      <alignment horizontal="right" vertical="center"/>
    </xf>
    <xf numFmtId="0" fontId="6" fillId="7" borderId="0" applyAlignment="1" pivotButton="0" quotePrefix="0" xfId="0">
      <alignment horizontal="left" vertical="center" indent="1"/>
    </xf>
    <xf numFmtId="0" fontId="3" fillId="7" borderId="2" applyAlignment="1" pivotButton="0" quotePrefix="0" xfId="0">
      <alignment horizontal="center" vertical="center"/>
    </xf>
    <xf numFmtId="49" fontId="10" fillId="4" borderId="2" applyAlignment="1" pivotButton="0" quotePrefix="0" xfId="0">
      <alignment horizontal="left" vertical="center"/>
    </xf>
    <xf numFmtId="3" fontId="12" fillId="4" borderId="2" applyAlignment="1" pivotButton="0" quotePrefix="0" xfId="0">
      <alignment horizontal="right" vertical="center"/>
    </xf>
    <xf numFmtId="49" fontId="13" fillId="4" borderId="2" applyAlignment="1" pivotButton="0" quotePrefix="0" xfId="0">
      <alignment horizontal="right" vertical="center"/>
    </xf>
    <xf numFmtId="49" fontId="10" fillId="5" borderId="2" applyAlignment="1" pivotButton="0" quotePrefix="0" xfId="0">
      <alignment horizontal="left" vertical="center"/>
    </xf>
    <xf numFmtId="3" fontId="12" fillId="5" borderId="2" applyAlignment="1" pivotButton="0" quotePrefix="0" xfId="0">
      <alignment horizontal="right" vertical="center"/>
    </xf>
    <xf numFmtId="49" fontId="13" fillId="5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1" customWidth="1" min="3" max="3"/>
    <col width="11" customWidth="1" min="4" max="4"/>
    <col width="12" customWidth="1" min="5" max="5"/>
    <col width="14" customWidth="1" min="6" max="6"/>
    <col width="12" customWidth="1" min="7" max="7"/>
    <col width="14" customWidth="1" min="8" max="8"/>
    <col width="14" customWidth="1" min="9" max="9"/>
    <col width="14" customWidth="1" min="10" max="10"/>
    <col width="12" customWidth="1" min="11" max="11"/>
    <col width="14" customWidth="1" min="12" max="12"/>
  </cols>
  <sheetData>
    <row r="1" ht="32" customHeight="1">
      <c r="A1" s="1" t="inlineStr">
        <is>
          <t>㈜넥스젬  SPARE PART 손익보고서  (2026년 7월)</t>
        </is>
      </c>
    </row>
    <row r="2" ht="22" customHeight="1">
      <c r="A2" s="2" t="inlineStr">
        <is>
          <t>■ 자체생산 SPARE PART — HGM100 시리즈</t>
        </is>
      </c>
    </row>
    <row r="3" ht="38" customHeight="1">
      <c r="A3" s="3" t="inlineStr">
        <is>
          <t>품번</t>
        </is>
      </c>
      <c r="B3" s="3" t="inlineStr">
        <is>
          <t>품명</t>
        </is>
      </c>
      <c r="C3" s="3" t="inlineStr">
        <is>
          <t>BOM
단위원가(원)</t>
        </is>
      </c>
      <c r="D3" s="3" t="inlineStr">
        <is>
          <t>판매단가
(원)</t>
        </is>
      </c>
      <c r="E3" s="3" t="inlineStr">
        <is>
          <t>생산수량
(EA)</t>
        </is>
      </c>
      <c r="F3" s="3" t="inlineStr">
        <is>
          <t>생산투입
원가(원)</t>
        </is>
      </c>
      <c r="G3" s="3" t="inlineStr">
        <is>
          <t>출하수량
(EA)</t>
        </is>
      </c>
      <c r="H3" s="3" t="inlineStr">
        <is>
          <t>매출금액
(원)</t>
        </is>
      </c>
      <c r="I3" s="3" t="inlineStr">
        <is>
          <t>매출원가
(원)</t>
        </is>
      </c>
      <c r="J3" s="3" t="inlineStr">
        <is>
          <t>순이익
(원)</t>
        </is>
      </c>
      <c r="K3" s="3" t="inlineStr">
        <is>
          <t>월말재고
수량</t>
        </is>
      </c>
      <c r="L3" s="3" t="inlineStr">
        <is>
          <t>월말재고
금액(원)</t>
        </is>
      </c>
    </row>
    <row r="4" ht="18" customHeight="1">
      <c r="A4" s="4" t="inlineStr">
        <is>
          <t>GC1-AS-0096</t>
        </is>
      </c>
      <c r="B4" s="4" t="inlineStr">
        <is>
          <t>2P HGM100 (15~50A)</t>
        </is>
      </c>
      <c r="C4" s="5" t="n">
        <v>235</v>
      </c>
      <c r="D4" s="5" t="n">
        <v>407</v>
      </c>
      <c r="E4" s="5" t="n">
        <v>3000</v>
      </c>
      <c r="F4" s="5" t="n">
        <v>705000</v>
      </c>
      <c r="G4" s="5" t="n">
        <v>0</v>
      </c>
      <c r="H4" s="5" t="n">
        <v>0</v>
      </c>
      <c r="I4" s="5" t="n">
        <v>0</v>
      </c>
      <c r="J4" s="6" t="n">
        <v>0</v>
      </c>
      <c r="K4" s="5" t="n">
        <v>6100</v>
      </c>
      <c r="L4" s="5" t="n">
        <v>1433500</v>
      </c>
    </row>
    <row r="5" ht="18" customHeight="1">
      <c r="A5" s="7" t="inlineStr">
        <is>
          <t>GC1-AS-0097</t>
        </is>
      </c>
      <c r="B5" s="7" t="inlineStr">
        <is>
          <t>3P HGM100 (15~50A)</t>
        </is>
      </c>
      <c r="C5" s="8" t="n">
        <v>361</v>
      </c>
      <c r="D5" s="8" t="n">
        <v>570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9" t="n">
        <v>0</v>
      </c>
      <c r="K5" s="8" t="n">
        <v>9750</v>
      </c>
      <c r="L5" s="8" t="n">
        <v>3519750</v>
      </c>
    </row>
    <row r="6" ht="18" customHeight="1">
      <c r="A6" s="4" t="inlineStr">
        <is>
          <t>GC1-AS-0098</t>
        </is>
      </c>
      <c r="B6" s="4" t="inlineStr">
        <is>
          <t>4P HGM100 (15~50A)</t>
        </is>
      </c>
      <c r="C6" s="5" t="n">
        <v>540</v>
      </c>
      <c r="D6" s="5" t="n">
        <v>792</v>
      </c>
      <c r="E6" s="5" t="n">
        <v>4300</v>
      </c>
      <c r="F6" s="5" t="n">
        <v>2322000</v>
      </c>
      <c r="G6" s="5" t="n">
        <v>0</v>
      </c>
      <c r="H6" s="5" t="n">
        <v>0</v>
      </c>
      <c r="I6" s="5" t="n">
        <v>0</v>
      </c>
      <c r="J6" s="6" t="n">
        <v>0</v>
      </c>
      <c r="K6" s="5" t="n">
        <v>4900</v>
      </c>
      <c r="L6" s="5" t="n">
        <v>2646000</v>
      </c>
    </row>
    <row r="7" ht="18" customHeight="1">
      <c r="A7" s="7" t="inlineStr">
        <is>
          <t>GC1-AS-0099</t>
        </is>
      </c>
      <c r="B7" s="7" t="inlineStr">
        <is>
          <t>2P HGM100</t>
        </is>
      </c>
      <c r="C7" s="8" t="n">
        <v>243</v>
      </c>
      <c r="D7" s="8" t="n">
        <v>428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9" t="n">
        <v>0</v>
      </c>
      <c r="K7" s="8" t="n">
        <v>0</v>
      </c>
      <c r="L7" s="8" t="n">
        <v>0</v>
      </c>
    </row>
    <row r="8" ht="18" customHeight="1">
      <c r="A8" s="4" t="inlineStr">
        <is>
          <t>GC1-AS-0100</t>
        </is>
      </c>
      <c r="B8" s="4" t="inlineStr">
        <is>
          <t>3P HGM100</t>
        </is>
      </c>
      <c r="C8" s="5" t="n">
        <v>373</v>
      </c>
      <c r="D8" s="5" t="n">
        <v>601</v>
      </c>
      <c r="E8" s="5" t="n">
        <v>3000</v>
      </c>
      <c r="F8" s="5" t="n">
        <v>1119000</v>
      </c>
      <c r="G8" s="5" t="n">
        <v>2000</v>
      </c>
      <c r="H8" s="5" t="n">
        <v>1202000</v>
      </c>
      <c r="I8" s="5" t="n">
        <v>746000</v>
      </c>
      <c r="J8" s="6" t="n">
        <v>456000</v>
      </c>
      <c r="K8" s="5" t="n">
        <v>12000</v>
      </c>
      <c r="L8" s="5" t="n">
        <v>4476000</v>
      </c>
    </row>
    <row r="9" ht="18" customHeight="1">
      <c r="A9" s="7" t="inlineStr">
        <is>
          <t>GC1-AS-0101</t>
        </is>
      </c>
      <c r="B9" s="7" t="inlineStr">
        <is>
          <t>4P HGM100</t>
        </is>
      </c>
      <c r="C9" s="8" t="n">
        <v>556</v>
      </c>
      <c r="D9" s="8" t="n">
        <v>833</v>
      </c>
      <c r="E9" s="8" t="n">
        <v>100</v>
      </c>
      <c r="F9" s="8" t="n">
        <v>55600</v>
      </c>
      <c r="G9" s="8" t="n">
        <v>0</v>
      </c>
      <c r="H9" s="8" t="n">
        <v>0</v>
      </c>
      <c r="I9" s="8" t="n">
        <v>0</v>
      </c>
      <c r="J9" s="9" t="n">
        <v>0</v>
      </c>
      <c r="K9" s="8" t="n">
        <v>3250</v>
      </c>
      <c r="L9" s="8" t="n">
        <v>1807000</v>
      </c>
    </row>
    <row r="10" ht="18" customHeight="1">
      <c r="A10" s="4" t="inlineStr">
        <is>
          <t>GC1-AS-0117</t>
        </is>
      </c>
      <c r="B10" s="4" t="inlineStr">
        <is>
          <t>3P HGM100 HEX</t>
        </is>
      </c>
      <c r="C10" s="5" t="n">
        <v>505</v>
      </c>
      <c r="D10" s="5" t="n">
        <v>729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6" t="n">
        <v>0</v>
      </c>
      <c r="K10" s="5" t="n">
        <v>0</v>
      </c>
      <c r="L10" s="5" t="n">
        <v>0</v>
      </c>
    </row>
    <row r="11" ht="22" customHeight="1">
      <c r="A11" s="10" t="inlineStr">
        <is>
          <t>합  계</t>
        </is>
      </c>
      <c r="E11" s="11">
        <f>SUM(E4:E10)</f>
        <v/>
      </c>
      <c r="F11" s="11">
        <f>SUM(F4:F10)</f>
        <v/>
      </c>
      <c r="G11" s="11">
        <f>SUM(G4:G10)</f>
        <v/>
      </c>
      <c r="H11" s="11">
        <f>SUM(H4:H10)</f>
        <v/>
      </c>
      <c r="I11" s="11">
        <f>SUM(I4:I10)</f>
        <v/>
      </c>
      <c r="J11" s="11">
        <f>SUM(J4:J10)</f>
        <v/>
      </c>
      <c r="K11" s="11">
        <f>SUM(K4:K10)</f>
        <v/>
      </c>
      <c r="L11" s="11">
        <f>SUM(L4:L10)</f>
        <v/>
      </c>
    </row>
    <row r="13">
      <c r="A13" s="12" t="inlineStr">
        <is>
          <t>매출총이익률</t>
        </is>
      </c>
      <c r="C13" s="13">
        <f>IFERROR(J11/H11,0)</f>
        <v/>
      </c>
    </row>
    <row r="14" ht="16" customHeight="1">
      <c r="A14" s="14" t="inlineStr">
        <is>
          <t>※ BOM단위원가: 구성 원자재 매입단가 합산 기준  |  매출원가 = 출하수량 × BOM단위원가</t>
        </is>
      </c>
    </row>
  </sheetData>
  <mergeCells count="5">
    <mergeCell ref="A2:L2"/>
    <mergeCell ref="A1:L1"/>
    <mergeCell ref="A14:L14"/>
    <mergeCell ref="A13:B13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1" customWidth="1" min="3" max="3"/>
    <col width="10" customWidth="1" min="4" max="4"/>
    <col width="11" customWidth="1" min="5" max="5"/>
    <col width="11" customWidth="1" min="6" max="6"/>
    <col width="12" customWidth="1" min="7" max="7"/>
    <col width="14" customWidth="1" min="8" max="8"/>
    <col width="14" customWidth="1" min="9" max="9"/>
    <col width="14" customWidth="1" min="10" max="10"/>
    <col width="12" customWidth="1" min="11" max="11"/>
    <col width="14" customWidth="1" min="12" max="12"/>
  </cols>
  <sheetData>
    <row r="1" ht="32" customHeight="1">
      <c r="A1" s="1" t="inlineStr">
        <is>
          <t>㈜넥스젬  SPARE PART 손익보고서  (2026년 7월)</t>
        </is>
      </c>
    </row>
    <row r="2" ht="22" customHeight="1">
      <c r="A2" s="15" t="inlineStr">
        <is>
          <t>■ 외주처 SPARE PART — HGM250 / HGP160 / HGP250  (단가 = BOM재료비 + 외주포장비 80원)</t>
        </is>
      </c>
    </row>
    <row r="3" ht="38" customHeight="1">
      <c r="A3" s="16" t="inlineStr">
        <is>
          <t>품번</t>
        </is>
      </c>
      <c r="B3" s="16" t="inlineStr">
        <is>
          <t>품명</t>
        </is>
      </c>
      <c r="C3" s="16" t="inlineStr">
        <is>
          <t>BOM
재료비(원)</t>
        </is>
      </c>
      <c r="D3" s="16" t="inlineStr">
        <is>
          <t>포장비
(원)</t>
        </is>
      </c>
      <c r="E3" s="16" t="inlineStr">
        <is>
          <t>합계
매입단가(원)</t>
        </is>
      </c>
      <c r="F3" s="16" t="inlineStr">
        <is>
          <t>판매단가
(원)</t>
        </is>
      </c>
      <c r="G3" s="16" t="inlineStr">
        <is>
          <t>출하수량
(EA)</t>
        </is>
      </c>
      <c r="H3" s="16" t="inlineStr">
        <is>
          <t>매출금액
(원)</t>
        </is>
      </c>
      <c r="I3" s="16" t="inlineStr">
        <is>
          <t>매입원가
합계(원)</t>
        </is>
      </c>
      <c r="J3" s="16" t="inlineStr">
        <is>
          <t>순이익
(원)</t>
        </is>
      </c>
      <c r="K3" s="16" t="inlineStr">
        <is>
          <t>월말재고
수량</t>
        </is>
      </c>
      <c r="L3" s="16" t="inlineStr">
        <is>
          <t>월말재고
금액(원)</t>
        </is>
      </c>
    </row>
    <row r="4" ht="18" customHeight="1">
      <c r="A4" s="4" t="inlineStr">
        <is>
          <t>GC3-AS-0065</t>
        </is>
      </c>
      <c r="B4" s="4" t="inlineStr">
        <is>
          <t>2P HGM250</t>
        </is>
      </c>
      <c r="C4" s="5" t="n">
        <v>80</v>
      </c>
      <c r="D4" s="5" t="n">
        <v>80</v>
      </c>
      <c r="E4" s="17" t="n">
        <v>160</v>
      </c>
      <c r="F4" s="5" t="n">
        <v>492</v>
      </c>
      <c r="G4" s="5" t="n">
        <v>0</v>
      </c>
      <c r="H4" s="5" t="n">
        <v>0</v>
      </c>
      <c r="I4" s="5" t="n">
        <v>0</v>
      </c>
      <c r="J4" s="6" t="n">
        <v>0</v>
      </c>
      <c r="K4" s="5" t="n">
        <v>0</v>
      </c>
      <c r="L4" s="5" t="n">
        <v>0</v>
      </c>
    </row>
    <row r="5" ht="18" customHeight="1">
      <c r="A5" s="7" t="inlineStr">
        <is>
          <t>GC3-AS-0066</t>
        </is>
      </c>
      <c r="B5" s="7" t="inlineStr">
        <is>
          <t>3P HGM250</t>
        </is>
      </c>
      <c r="C5" s="8" t="n">
        <v>534</v>
      </c>
      <c r="D5" s="8" t="n">
        <v>80</v>
      </c>
      <c r="E5" s="18" t="n">
        <v>614</v>
      </c>
      <c r="F5" s="8" t="n">
        <v>842</v>
      </c>
      <c r="G5" s="8" t="n">
        <v>8400</v>
      </c>
      <c r="H5" s="8" t="n">
        <v>7072800</v>
      </c>
      <c r="I5" s="8" t="n">
        <v>5157600</v>
      </c>
      <c r="J5" s="9" t="n">
        <v>1915200</v>
      </c>
      <c r="K5" s="8" t="n">
        <v>0</v>
      </c>
      <c r="L5" s="8" t="n">
        <v>0</v>
      </c>
    </row>
    <row r="6" ht="18" customHeight="1">
      <c r="A6" s="4" t="inlineStr">
        <is>
          <t>GC3-AS-0067</t>
        </is>
      </c>
      <c r="B6" s="4" t="inlineStr">
        <is>
          <t>4P HGM250</t>
        </is>
      </c>
      <c r="C6" s="5" t="n">
        <v>774</v>
      </c>
      <c r="D6" s="5" t="n">
        <v>80</v>
      </c>
      <c r="E6" s="17" t="n">
        <v>854</v>
      </c>
      <c r="F6" s="5" t="n">
        <v>1171</v>
      </c>
      <c r="G6" s="5" t="n">
        <v>3400</v>
      </c>
      <c r="H6" s="5" t="n">
        <v>3981400</v>
      </c>
      <c r="I6" s="5" t="n">
        <v>2903600</v>
      </c>
      <c r="J6" s="6" t="n">
        <v>1077800</v>
      </c>
      <c r="K6" s="5" t="n">
        <v>0</v>
      </c>
      <c r="L6" s="5" t="n">
        <v>0</v>
      </c>
    </row>
    <row r="7" ht="18" customHeight="1">
      <c r="A7" s="7" t="inlineStr">
        <is>
          <t>GP1-AS-0001</t>
        </is>
      </c>
      <c r="B7" s="7" t="inlineStr">
        <is>
          <t>3P HGP160</t>
        </is>
      </c>
      <c r="C7" s="8" t="n">
        <v>785</v>
      </c>
      <c r="D7" s="8" t="n">
        <v>80</v>
      </c>
      <c r="E7" s="18" t="n">
        <v>865</v>
      </c>
      <c r="F7" s="8" t="n">
        <v>1205</v>
      </c>
      <c r="G7" s="8" t="n">
        <v>0</v>
      </c>
      <c r="H7" s="8" t="n">
        <v>0</v>
      </c>
      <c r="I7" s="8" t="n">
        <v>0</v>
      </c>
      <c r="J7" s="9" t="n">
        <v>0</v>
      </c>
      <c r="K7" s="8" t="n">
        <v>4550</v>
      </c>
      <c r="L7" s="8" t="n">
        <v>3935750</v>
      </c>
    </row>
    <row r="8" ht="18" customHeight="1">
      <c r="A8" s="4" t="inlineStr">
        <is>
          <t>GP1-AS-0002</t>
        </is>
      </c>
      <c r="B8" s="4" t="inlineStr">
        <is>
          <t>4P HGP160</t>
        </is>
      </c>
      <c r="C8" s="5" t="n">
        <v>1136</v>
      </c>
      <c r="D8" s="5" t="n">
        <v>80</v>
      </c>
      <c r="E8" s="17" t="n">
        <v>1216</v>
      </c>
      <c r="F8" s="5" t="n">
        <v>1709</v>
      </c>
      <c r="G8" s="5" t="n">
        <v>0</v>
      </c>
      <c r="H8" s="5" t="n">
        <v>0</v>
      </c>
      <c r="I8" s="5" t="n">
        <v>0</v>
      </c>
      <c r="J8" s="6" t="n">
        <v>0</v>
      </c>
      <c r="K8" s="5" t="n">
        <v>150</v>
      </c>
      <c r="L8" s="5" t="n">
        <v>182400</v>
      </c>
    </row>
    <row r="9" ht="18" customHeight="1">
      <c r="A9" s="7" t="inlineStr">
        <is>
          <t>GP2-AS-0058</t>
        </is>
      </c>
      <c r="B9" s="7" t="inlineStr">
        <is>
          <t>3P HGP250-G</t>
        </is>
      </c>
      <c r="C9" s="8" t="n">
        <v>810</v>
      </c>
      <c r="D9" s="8" t="n">
        <v>80</v>
      </c>
      <c r="E9" s="18" t="n">
        <v>890</v>
      </c>
      <c r="F9" s="8" t="n">
        <v>1344</v>
      </c>
      <c r="G9" s="8" t="n">
        <v>500</v>
      </c>
      <c r="H9" s="8" t="n">
        <v>672000</v>
      </c>
      <c r="I9" s="8" t="n">
        <v>445000</v>
      </c>
      <c r="J9" s="9" t="n">
        <v>227000</v>
      </c>
      <c r="K9" s="8" t="n">
        <v>1500</v>
      </c>
      <c r="L9" s="8" t="n">
        <v>1335000</v>
      </c>
    </row>
    <row r="10" ht="18" customHeight="1">
      <c r="A10" s="4" t="inlineStr">
        <is>
          <t>GP2-AS-0059</t>
        </is>
      </c>
      <c r="B10" s="4" t="inlineStr">
        <is>
          <t>4P HGP250-G</t>
        </is>
      </c>
      <c r="C10" s="5" t="n">
        <v>1161</v>
      </c>
      <c r="D10" s="5" t="n">
        <v>80</v>
      </c>
      <c r="E10" s="17" t="n">
        <v>1241</v>
      </c>
      <c r="F10" s="5" t="n">
        <v>1784</v>
      </c>
      <c r="G10" s="5" t="n">
        <v>0</v>
      </c>
      <c r="H10" s="5" t="n">
        <v>0</v>
      </c>
      <c r="I10" s="5" t="n">
        <v>0</v>
      </c>
      <c r="J10" s="6" t="n">
        <v>0</v>
      </c>
      <c r="K10" s="5" t="n">
        <v>7000</v>
      </c>
      <c r="L10" s="5" t="n">
        <v>8687000</v>
      </c>
    </row>
    <row r="11" ht="22" customHeight="1">
      <c r="A11" s="19" t="inlineStr">
        <is>
          <t>합  계</t>
        </is>
      </c>
      <c r="G11" s="20">
        <f>SUM(G4:G10)</f>
        <v/>
      </c>
      <c r="H11" s="20">
        <f>SUM(H4:H10)</f>
        <v/>
      </c>
      <c r="I11" s="20">
        <f>SUM(I4:I10)</f>
        <v/>
      </c>
      <c r="J11" s="20">
        <f>SUM(J4:J10)</f>
        <v/>
      </c>
      <c r="K11" s="20">
        <f>SUM(K4:K10)</f>
        <v/>
      </c>
      <c r="L11" s="20">
        <f>SUM(L4:L10)</f>
        <v/>
      </c>
    </row>
    <row r="13">
      <c r="A13" s="12" t="inlineStr">
        <is>
          <t>매출총이익률</t>
        </is>
      </c>
      <c r="C13" s="13">
        <f>IFERROR(J11/H11,0)</f>
        <v/>
      </c>
    </row>
    <row r="14" ht="16" customHeight="1">
      <c r="A14" s="14" t="inlineStr">
        <is>
          <t>※ 합계매입단가 = BOM재료비 + 외주포장비 80원  |  매입원가합계 = 출하수량 × 합계매입단가</t>
        </is>
      </c>
    </row>
  </sheetData>
  <mergeCells count="5">
    <mergeCell ref="A2:L2"/>
    <mergeCell ref="A11:F11"/>
    <mergeCell ref="A1:L1"/>
    <mergeCell ref="A14:L14"/>
    <mergeCell ref="A13:B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4" customWidth="1" min="5" max="5"/>
  </cols>
  <sheetData>
    <row r="1" ht="30" customHeight="1">
      <c r="A1" s="21" t="inlineStr">
        <is>
          <t>㈜넥스젬  SPARE PART 손익 종합요약  (2026년 7월)</t>
        </is>
      </c>
    </row>
    <row r="2" ht="20" customHeight="1">
      <c r="A2" s="22" t="inlineStr">
        <is>
          <t>▶ 자체생산 (HGM100)</t>
        </is>
      </c>
    </row>
    <row r="3" ht="18" customHeight="1">
      <c r="A3" s="23" t="inlineStr">
        <is>
          <t>구분</t>
        </is>
      </c>
      <c r="B3" s="23" t="inlineStr">
        <is>
          <t>매출(원)</t>
        </is>
      </c>
      <c r="C3" s="23" t="inlineStr">
        <is>
          <t>매입원가(원)</t>
        </is>
      </c>
      <c r="D3" s="23" t="inlineStr">
        <is>
          <t>순이익(원)</t>
        </is>
      </c>
      <c r="E3" s="23" t="inlineStr">
        <is>
          <t>이익률</t>
        </is>
      </c>
    </row>
    <row r="4" ht="17" customHeight="1">
      <c r="A4" s="24" t="inlineStr">
        <is>
          <t>2P HGM100 (15~50A)</t>
        </is>
      </c>
      <c r="B4" s="5" t="n">
        <v>0</v>
      </c>
      <c r="C4" s="5" t="n">
        <v>0</v>
      </c>
      <c r="D4" s="6" t="n">
        <v>0</v>
      </c>
      <c r="E4" s="25" t="n">
        <v>0</v>
      </c>
    </row>
    <row r="5" ht="17" customHeight="1">
      <c r="A5" s="26" t="inlineStr">
        <is>
          <t>3P HGM100 (15~50A)</t>
        </is>
      </c>
      <c r="B5" s="8" t="n">
        <v>0</v>
      </c>
      <c r="C5" s="8" t="n">
        <v>0</v>
      </c>
      <c r="D5" s="9" t="n">
        <v>0</v>
      </c>
      <c r="E5" s="27" t="n">
        <v>0</v>
      </c>
    </row>
    <row r="6" ht="17" customHeight="1">
      <c r="A6" s="24" t="inlineStr">
        <is>
          <t>4P HGM100 (15~50A)</t>
        </is>
      </c>
      <c r="B6" s="5" t="n">
        <v>0</v>
      </c>
      <c r="C6" s="5" t="n">
        <v>0</v>
      </c>
      <c r="D6" s="6" t="n">
        <v>0</v>
      </c>
      <c r="E6" s="25" t="n">
        <v>0</v>
      </c>
    </row>
    <row r="7" ht="17" customHeight="1">
      <c r="A7" s="26" t="inlineStr">
        <is>
          <t>2P HGM100</t>
        </is>
      </c>
      <c r="B7" s="8" t="n">
        <v>0</v>
      </c>
      <c r="C7" s="8" t="n">
        <v>0</v>
      </c>
      <c r="D7" s="9" t="n">
        <v>0</v>
      </c>
      <c r="E7" s="27" t="n">
        <v>0</v>
      </c>
    </row>
    <row r="8" ht="17" customHeight="1">
      <c r="A8" s="24" t="inlineStr">
        <is>
          <t>3P HGM100</t>
        </is>
      </c>
      <c r="B8" s="5" t="n">
        <v>1202000</v>
      </c>
      <c r="C8" s="5" t="n">
        <v>746000</v>
      </c>
      <c r="D8" s="6" t="n">
        <v>456000</v>
      </c>
      <c r="E8" s="25" t="n">
        <v>0.3793677204658902</v>
      </c>
    </row>
    <row r="9" ht="17" customHeight="1">
      <c r="A9" s="26" t="inlineStr">
        <is>
          <t>4P HGM100</t>
        </is>
      </c>
      <c r="B9" s="8" t="n">
        <v>0</v>
      </c>
      <c r="C9" s="8" t="n">
        <v>0</v>
      </c>
      <c r="D9" s="9" t="n">
        <v>0</v>
      </c>
      <c r="E9" s="27" t="n">
        <v>0</v>
      </c>
    </row>
    <row r="10" ht="17" customHeight="1">
      <c r="A10" s="24" t="inlineStr">
        <is>
          <t>3P HGM100 HEX</t>
        </is>
      </c>
      <c r="B10" s="5" t="n">
        <v>0</v>
      </c>
      <c r="C10" s="5" t="n">
        <v>0</v>
      </c>
      <c r="D10" s="6" t="n">
        <v>0</v>
      </c>
      <c r="E10" s="25" t="n">
        <v>0</v>
      </c>
    </row>
    <row r="11" ht="20" customHeight="1">
      <c r="A11" s="28" t="inlineStr">
        <is>
          <t>소  계</t>
        </is>
      </c>
      <c r="B11" s="29">
        <f>SUM(B4:B10)</f>
        <v/>
      </c>
      <c r="C11" s="29">
        <f>SUM(C4:C10)</f>
        <v/>
      </c>
      <c r="D11" s="29">
        <f>SUM(D4:D10)</f>
        <v/>
      </c>
      <c r="E11" s="30">
        <f>IFERROR(D11/B11,0)</f>
        <v/>
      </c>
    </row>
    <row r="13" ht="20" customHeight="1">
      <c r="A13" s="31" t="inlineStr">
        <is>
          <t>▶ 외주처 (HGM250 / HGP160 / HGP250)</t>
        </is>
      </c>
    </row>
    <row r="14" ht="18" customHeight="1">
      <c r="A14" s="32" t="inlineStr">
        <is>
          <t>구분</t>
        </is>
      </c>
      <c r="B14" s="32" t="inlineStr">
        <is>
          <t>매출(원)</t>
        </is>
      </c>
      <c r="C14" s="32" t="inlineStr">
        <is>
          <t>매입원가(원)</t>
        </is>
      </c>
      <c r="D14" s="32" t="inlineStr">
        <is>
          <t>순이익(원)</t>
        </is>
      </c>
      <c r="E14" s="32" t="inlineStr">
        <is>
          <t>이익률</t>
        </is>
      </c>
    </row>
    <row r="15" ht="17" customHeight="1">
      <c r="A15" s="26" t="inlineStr">
        <is>
          <t>2P HGM250</t>
        </is>
      </c>
      <c r="B15" s="8" t="n">
        <v>0</v>
      </c>
      <c r="C15" s="8" t="n">
        <v>0</v>
      </c>
      <c r="D15" s="9" t="n">
        <v>0</v>
      </c>
      <c r="E15" s="27" t="n">
        <v>0</v>
      </c>
    </row>
    <row r="16" ht="17" customHeight="1">
      <c r="A16" s="24" t="inlineStr">
        <is>
          <t>3P HGM250</t>
        </is>
      </c>
      <c r="B16" s="5" t="n">
        <v>7072800</v>
      </c>
      <c r="C16" s="5" t="n">
        <v>5157600</v>
      </c>
      <c r="D16" s="6" t="n">
        <v>1915200</v>
      </c>
      <c r="E16" s="25" t="n">
        <v>0.2707838479809976</v>
      </c>
    </row>
    <row r="17" ht="17" customHeight="1">
      <c r="A17" s="26" t="inlineStr">
        <is>
          <t>4P HGM250</t>
        </is>
      </c>
      <c r="B17" s="8" t="n">
        <v>3981400</v>
      </c>
      <c r="C17" s="8" t="n">
        <v>2903600</v>
      </c>
      <c r="D17" s="9" t="n">
        <v>1077800</v>
      </c>
      <c r="E17" s="27" t="n">
        <v>0.2707087959009394</v>
      </c>
    </row>
    <row r="18" ht="17" customHeight="1">
      <c r="A18" s="24" t="inlineStr">
        <is>
          <t>3P HGP160</t>
        </is>
      </c>
      <c r="B18" s="5" t="n">
        <v>0</v>
      </c>
      <c r="C18" s="5" t="n">
        <v>0</v>
      </c>
      <c r="D18" s="6" t="n">
        <v>0</v>
      </c>
      <c r="E18" s="25" t="n">
        <v>0</v>
      </c>
    </row>
    <row r="19" ht="17" customHeight="1">
      <c r="A19" s="26" t="inlineStr">
        <is>
          <t>4P HGP160</t>
        </is>
      </c>
      <c r="B19" s="8" t="n">
        <v>0</v>
      </c>
      <c r="C19" s="8" t="n">
        <v>0</v>
      </c>
      <c r="D19" s="9" t="n">
        <v>0</v>
      </c>
      <c r="E19" s="27" t="n">
        <v>0</v>
      </c>
    </row>
    <row r="20" ht="17" customHeight="1">
      <c r="A20" s="24" t="inlineStr">
        <is>
          <t>3P HGP250-G</t>
        </is>
      </c>
      <c r="B20" s="5" t="n">
        <v>672000</v>
      </c>
      <c r="C20" s="5" t="n">
        <v>445000</v>
      </c>
      <c r="D20" s="6" t="n">
        <v>227000</v>
      </c>
      <c r="E20" s="25" t="n">
        <v>0.3377976190476191</v>
      </c>
    </row>
    <row r="21" ht="17" customHeight="1">
      <c r="A21" s="26" t="inlineStr">
        <is>
          <t>4P HGP250-G</t>
        </is>
      </c>
      <c r="B21" s="8" t="n">
        <v>0</v>
      </c>
      <c r="C21" s="8" t="n">
        <v>0</v>
      </c>
      <c r="D21" s="9" t="n">
        <v>0</v>
      </c>
      <c r="E21" s="27" t="n">
        <v>0</v>
      </c>
    </row>
    <row r="22" ht="20" customHeight="1">
      <c r="A22" s="33" t="inlineStr">
        <is>
          <t>소  계</t>
        </is>
      </c>
      <c r="B22" s="34">
        <f>SUM(B15:B21)</f>
        <v/>
      </c>
      <c r="C22" s="34">
        <f>SUM(C15:C21)</f>
        <v/>
      </c>
      <c r="D22" s="34">
        <f>SUM(D15:D21)</f>
        <v/>
      </c>
      <c r="E22" s="35">
        <f>IFERROR(D22/B22,0)</f>
        <v/>
      </c>
    </row>
    <row r="24" ht="20" customHeight="1">
      <c r="A24" s="36" t="inlineStr">
        <is>
          <t>▶ 종합 합계</t>
        </is>
      </c>
    </row>
    <row r="25" ht="18" customHeight="1">
      <c r="A25" s="37" t="inlineStr">
        <is>
          <t>구분</t>
        </is>
      </c>
      <c r="B25" s="37" t="inlineStr">
        <is>
          <t>매출(원)</t>
        </is>
      </c>
      <c r="C25" s="37" t="inlineStr">
        <is>
          <t>매입원가(원)</t>
        </is>
      </c>
      <c r="D25" s="37" t="inlineStr">
        <is>
          <t>순이익(원)</t>
        </is>
      </c>
      <c r="E25" s="37" t="inlineStr">
        <is>
          <t>이익률</t>
        </is>
      </c>
    </row>
    <row r="26" ht="22" customHeight="1">
      <c r="A26" s="38" t="inlineStr">
        <is>
          <t>합  계</t>
        </is>
      </c>
      <c r="B26" s="39" t="n">
        <v>12928200</v>
      </c>
      <c r="C26" s="39" t="n">
        <v>9252200</v>
      </c>
      <c r="D26" s="39" t="n">
        <v>3676000</v>
      </c>
      <c r="E26" s="40" t="n">
        <v>0.284339660586934</v>
      </c>
    </row>
    <row r="28" ht="20" customHeight="1">
      <c r="A28" s="41" t="inlineStr">
        <is>
          <t>▶ 월말재고 현황 (원가기준)</t>
        </is>
      </c>
    </row>
    <row r="29" ht="18" customHeight="1">
      <c r="A29" s="42" t="inlineStr">
        <is>
          <t>구분</t>
        </is>
      </c>
      <c r="B29" s="42" t="inlineStr">
        <is>
          <t>자체생산</t>
        </is>
      </c>
      <c r="C29" s="42" t="inlineStr">
        <is>
          <t>외주처</t>
        </is>
      </c>
      <c r="D29" s="42" t="inlineStr">
        <is>
          <t>합계</t>
        </is>
      </c>
      <c r="E29" s="42" t="inlineStr">
        <is>
          <t>비고</t>
        </is>
      </c>
    </row>
    <row r="30" ht="17" customHeight="1">
      <c r="A30" s="43" t="inlineStr">
        <is>
          <t>재고수량 (EA)</t>
        </is>
      </c>
      <c r="B30" s="5" t="n">
        <v>36000</v>
      </c>
      <c r="C30" s="5" t="n">
        <v>13200</v>
      </c>
      <c r="D30" s="44" t="n">
        <v>49200</v>
      </c>
      <c r="E30" s="45" t="inlineStr"/>
    </row>
    <row r="31" ht="17" customHeight="1">
      <c r="A31" s="46" t="inlineStr">
        <is>
          <t>재고금액 (원)</t>
        </is>
      </c>
      <c r="B31" s="8" t="n">
        <v>13882250</v>
      </c>
      <c r="C31" s="8" t="n">
        <v>14140150</v>
      </c>
      <c r="D31" s="47" t="n">
        <v>28022400</v>
      </c>
      <c r="E31" s="48" t="inlineStr">
        <is>
          <t>BOM원가+포장비 기준</t>
        </is>
      </c>
    </row>
  </sheetData>
  <mergeCells count="5">
    <mergeCell ref="A24:E24"/>
    <mergeCell ref="A2:E2"/>
    <mergeCell ref="A28:E28"/>
    <mergeCell ref="A1:E1"/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2026-07-13T09:14:29Z</dcterms:created>
  <dcterms:modified xmlns:dcterms="http://purl.org/dc/terms/" xmlns:xsi="http://www.w3.org/2001/XMLSchema-instance" xsi:type="dcterms:W3CDTF">2026-07-13T09:14:29Z</dcterms:modified>
</cp:coreProperties>
</file>