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자체생산" sheetId="1" state="visible" r:id="rId1"/>
    <sheet xmlns:r="http://schemas.openxmlformats.org/officeDocument/2006/relationships" name="외주처" sheetId="2" state="visible" r:id="rId2"/>
    <sheet xmlns:r="http://schemas.openxmlformats.org/officeDocument/2006/relationships" name="종합요약" sheetId="3" state="visible" r:id="rId3"/>
    <sheet xmlns:r="http://schemas.openxmlformats.org/officeDocument/2006/relationships" name="경영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8E8E93"/>
      <sz val="8"/>
    </font>
    <font>
      <name val="Arial"/>
      <b val="1"/>
      <color rgb="00FFFFFF"/>
      <sz val="16"/>
    </font>
    <font>
      <name val="Arial"/>
      <color rgb="008E8E93"/>
      <sz val="9"/>
    </font>
    <font>
      <name val="Arial"/>
      <b val="1"/>
      <color rgb="00FFFFFF"/>
      <sz val="8"/>
    </font>
    <font>
      <name val="Arial"/>
      <color rgb="003A3A3C"/>
      <sz val="9"/>
    </font>
    <font>
      <name val="Arial"/>
      <color rgb="000D0D0D"/>
      <sz val="9"/>
    </font>
    <font>
      <name val="Arial"/>
      <b val="1"/>
      <color rgb="000D0D0D"/>
      <sz val="9"/>
    </font>
    <font>
      <name val="Arial"/>
      <b val="1"/>
      <color rgb="00FF3B30"/>
      <sz val="9"/>
    </font>
    <font>
      <name val="Arial"/>
      <b val="1"/>
      <color rgb="0030D158"/>
      <sz val="9"/>
    </font>
    <font>
      <name val="Arial"/>
      <b val="1"/>
      <color rgb="00FF9F0A"/>
      <sz val="9"/>
    </font>
    <font>
      <name val="Arial"/>
      <b val="1"/>
      <color rgb="008E8E93"/>
      <sz val="9"/>
    </font>
    <font>
      <name val="Arial"/>
      <b val="1"/>
      <color rgb="00FFFFFF"/>
      <sz val="9"/>
    </font>
    <font>
      <name val="Arial"/>
      <color rgb="008E8E93"/>
      <sz val="7"/>
    </font>
    <font>
      <name val="Arial"/>
      <b val="1"/>
      <color rgb="000A84FF"/>
      <sz val="9"/>
    </font>
    <font>
      <name val="Arial"/>
      <b val="1"/>
      <color rgb="008E8E93"/>
      <sz val="7"/>
    </font>
    <font>
      <name val="Arial"/>
      <b val="1"/>
      <color rgb="00FFFFFF"/>
      <sz val="10"/>
    </font>
    <font>
      <name val="Arial"/>
      <color rgb="00FFFFFF"/>
      <sz val="9"/>
    </font>
    <font>
      <name val="Arial"/>
      <color rgb="00FF3B30"/>
      <sz val="9"/>
    </font>
    <font>
      <name val="Arial"/>
      <color rgb="0030D158"/>
      <sz val="9"/>
    </font>
  </fonts>
  <fills count="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C1C1E"/>
      </patternFill>
    </fill>
    <fill>
      <patternFill patternType="solid">
        <fgColor rgb="00FFFFFF"/>
      </patternFill>
    </fill>
    <fill>
      <patternFill patternType="solid">
        <fgColor rgb="00F9F9FB"/>
      </patternFill>
    </fill>
    <fill>
      <patternFill patternType="solid">
        <fgColor rgb="003A3A3C"/>
      </patternFill>
    </fill>
  </fills>
  <borders count="5">
    <border>
      <left/>
      <right/>
      <top/>
      <bottom/>
      <diagonal/>
    </border>
    <border/>
    <border>
      <right style="thin">
        <color rgb="002C2C2E"/>
      </right>
      <bottom style="medium">
        <color rgb="00FFFFFF"/>
      </bottom>
    </border>
    <border>
      <bottom style="thin">
        <color rgb="00E5E5EA"/>
      </bottom>
    </border>
    <border>
      <right style="thin">
        <color rgb="001C1C1E"/>
      </right>
      <bottom style="medium">
        <color rgb="00FFFFF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49" fontId="5" fillId="4" borderId="3" applyAlignment="1" pivotButton="0" quotePrefix="0" xfId="0">
      <alignment horizontal="left" vertical="center"/>
    </xf>
    <xf numFmtId="49" fontId="6" fillId="4" borderId="3" applyAlignment="1" pivotButton="0" quotePrefix="0" xfId="0">
      <alignment horizontal="left" vertical="center"/>
    </xf>
    <xf numFmtId="3" fontId="6" fillId="4" borderId="3" applyAlignment="1" pivotButton="0" quotePrefix="0" xfId="0">
      <alignment horizontal="right" vertical="center"/>
    </xf>
    <xf numFmtId="3" fontId="3" fillId="4" borderId="3" applyAlignment="1" pivotButton="0" quotePrefix="0" xfId="0">
      <alignment horizontal="right" vertical="center"/>
    </xf>
    <xf numFmtId="3" fontId="7" fillId="4" borderId="3" applyAlignment="1" pivotButton="0" quotePrefix="0" xfId="0">
      <alignment horizontal="right" vertical="center"/>
    </xf>
    <xf numFmtId="49" fontId="8" fillId="4" borderId="3" applyAlignment="1" pivotButton="0" quotePrefix="0" xfId="0">
      <alignment horizontal="center" vertical="center"/>
    </xf>
    <xf numFmtId="3" fontId="9" fillId="4" borderId="3" applyAlignment="1" pivotButton="0" quotePrefix="0" xfId="0">
      <alignment horizontal="right" vertical="center"/>
    </xf>
    <xf numFmtId="49" fontId="5" fillId="5" borderId="3" applyAlignment="1" pivotButton="0" quotePrefix="0" xfId="0">
      <alignment horizontal="left" vertical="center"/>
    </xf>
    <xf numFmtId="49" fontId="6" fillId="5" borderId="3" applyAlignment="1" pivotButton="0" quotePrefix="0" xfId="0">
      <alignment horizontal="left" vertical="center"/>
    </xf>
    <xf numFmtId="3" fontId="6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3" fontId="7" fillId="5" borderId="3" applyAlignment="1" pivotButton="0" quotePrefix="0" xfId="0">
      <alignment horizontal="right" vertical="center"/>
    </xf>
    <xf numFmtId="49" fontId="8" fillId="5" borderId="3" applyAlignment="1" pivotButton="0" quotePrefix="0" xfId="0">
      <alignment horizontal="center" vertical="center"/>
    </xf>
    <xf numFmtId="3" fontId="9" fillId="5" borderId="3" applyAlignment="1" pivotButton="0" quotePrefix="0" xfId="0">
      <alignment horizontal="right" vertical="center"/>
    </xf>
    <xf numFmtId="49" fontId="10" fillId="4" borderId="3" applyAlignment="1" pivotButton="0" quotePrefix="0" xfId="0">
      <alignment horizontal="center" vertical="center"/>
    </xf>
    <xf numFmtId="49" fontId="11" fillId="4" borderId="3" applyAlignment="1" pivotButton="0" quotePrefix="0" xfId="0">
      <alignment horizontal="center" vertical="center"/>
    </xf>
    <xf numFmtId="49" fontId="11" fillId="5" borderId="3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3" fontId="14" fillId="4" borderId="3" applyAlignment="1" pivotButton="0" quotePrefix="0" xfId="0">
      <alignment horizontal="right" vertical="center"/>
    </xf>
    <xf numFmtId="3" fontId="14" fillId="5" borderId="3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/>
    </xf>
    <xf numFmtId="0" fontId="4" fillId="6" borderId="4" applyAlignment="1" pivotButton="0" quotePrefix="0" xfId="0">
      <alignment horizontal="center" vertical="center"/>
    </xf>
    <xf numFmtId="164" fontId="9" fillId="5" borderId="3" applyAlignment="1" pivotButton="0" quotePrefix="0" xfId="0">
      <alignment horizontal="center" vertical="center"/>
    </xf>
    <xf numFmtId="164" fontId="9" fillId="4" borderId="3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49" fontId="16" fillId="2" borderId="1" applyAlignment="1" pivotButton="0" quotePrefix="0" xfId="0">
      <alignment horizontal="center" vertical="center"/>
    </xf>
    <xf numFmtId="3" fontId="16" fillId="2" borderId="1" applyAlignment="1" pivotButton="0" quotePrefix="0" xfId="0">
      <alignment horizontal="right" vertical="center"/>
    </xf>
    <xf numFmtId="164" fontId="16" fillId="2" borderId="1" applyAlignment="1" pivotButton="0" quotePrefix="0" xfId="0">
      <alignment horizontal="center" vertical="center"/>
    </xf>
    <xf numFmtId="49" fontId="3" fillId="5" borderId="3" applyAlignment="1" pivotButton="0" quotePrefix="0" xfId="0">
      <alignment horizontal="left" vertical="center"/>
    </xf>
    <xf numFmtId="49" fontId="3" fillId="4" borderId="3" applyAlignment="1" pivotButton="0" quotePrefix="0" xfId="0">
      <alignment horizontal="left" vertical="center"/>
    </xf>
    <xf numFmtId="49" fontId="12" fillId="6" borderId="1" applyAlignment="1" pivotButton="0" quotePrefix="0" xfId="0">
      <alignment horizontal="center" vertical="center"/>
    </xf>
    <xf numFmtId="49" fontId="17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14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18" fillId="5" borderId="3" applyAlignment="1" pivotButton="0" quotePrefix="0" xfId="0">
      <alignment horizontal="left" vertical="center"/>
    </xf>
    <xf numFmtId="0" fontId="19" fillId="5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18" fillId="4" borderId="3" applyAlignment="1" pivotButton="0" quotePrefix="0" xfId="0">
      <alignment horizontal="left" vertical="center"/>
    </xf>
    <xf numFmtId="0" fontId="1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0" customWidth="1" min="4" max="4"/>
    <col width="11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1" customWidth="1" min="12" max="12"/>
    <col width="14" customWidth="1" min="13" max="13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스페어파트 손익보고서  —  2026.07</t>
        </is>
      </c>
    </row>
    <row r="3" ht="18" customHeight="1">
      <c r="A3" s="3" t="inlineStr">
        <is>
          <t>자체생산  ·  BOM 단위원가 기준</t>
        </is>
      </c>
    </row>
    <row r="4" ht="32" customHeight="1">
      <c r="A4" s="4" t="inlineStr">
        <is>
          <t>품번</t>
        </is>
      </c>
      <c r="B4" s="4" t="inlineStr">
        <is>
          <t>품명</t>
        </is>
      </c>
      <c r="C4" s="4" t="inlineStr">
        <is>
          <t>BOM
단위원가</t>
        </is>
      </c>
      <c r="D4" s="4" t="inlineStr">
        <is>
          <t>판매
단가</t>
        </is>
      </c>
      <c r="E4" s="4" t="inlineStr">
        <is>
          <t>계획
수량</t>
        </is>
      </c>
      <c r="F4" s="4" t="inlineStr">
        <is>
          <t>실적
수량</t>
        </is>
      </c>
      <c r="G4" s="4" t="inlineStr">
        <is>
          <t>달성률</t>
        </is>
      </c>
      <c r="H4" s="4" t="inlineStr">
        <is>
          <t>출하
수량</t>
        </is>
      </c>
      <c r="I4" s="4" t="inlineStr">
        <is>
          <t>매출액
(₩)</t>
        </is>
      </c>
      <c r="J4" s="4" t="inlineStr">
        <is>
          <t>매출원가
(₩)</t>
        </is>
      </c>
      <c r="K4" s="4" t="inlineStr">
        <is>
          <t>매출총이익
(₩)</t>
        </is>
      </c>
      <c r="L4" s="4" t="inlineStr">
        <is>
          <t>월말
재고</t>
        </is>
      </c>
      <c r="M4" s="4" t="inlineStr">
        <is>
          <t>월말재고
금액(₩)</t>
        </is>
      </c>
    </row>
    <row r="5" ht="17" customHeight="1">
      <c r="A5" s="5" t="inlineStr">
        <is>
          <t>GC1-AS-0096</t>
        </is>
      </c>
      <c r="B5" s="6" t="inlineStr">
        <is>
          <t>2P HGM100 (15~50A)</t>
        </is>
      </c>
      <c r="C5" s="7" t="n">
        <v>235</v>
      </c>
      <c r="D5" s="7" t="n">
        <v>407</v>
      </c>
      <c r="E5" s="8" t="n">
        <v>6000</v>
      </c>
      <c r="F5" s="9" t="n">
        <v>4100</v>
      </c>
      <c r="G5" s="10" t="inlineStr">
        <is>
          <t>68.3%</t>
        </is>
      </c>
      <c r="H5" s="7" t="n">
        <v>6000</v>
      </c>
      <c r="I5" s="7" t="n">
        <v>2442000</v>
      </c>
      <c r="J5" s="7" t="n">
        <v>1410000</v>
      </c>
      <c r="K5" s="11" t="n">
        <v>1032000</v>
      </c>
      <c r="L5" s="7" t="n">
        <v>1200</v>
      </c>
      <c r="M5" s="7" t="n">
        <v>282000</v>
      </c>
    </row>
    <row r="6" ht="17" customHeight="1">
      <c r="A6" s="12" t="inlineStr">
        <is>
          <t>GC1-AS-0097</t>
        </is>
      </c>
      <c r="B6" s="13" t="inlineStr">
        <is>
          <t>3P HGM100 (15~50A)</t>
        </is>
      </c>
      <c r="C6" s="14" t="n">
        <v>361</v>
      </c>
      <c r="D6" s="14" t="n">
        <v>570</v>
      </c>
      <c r="E6" s="15" t="n">
        <v>15000</v>
      </c>
      <c r="F6" s="16" t="n">
        <v>7500</v>
      </c>
      <c r="G6" s="17" t="inlineStr">
        <is>
          <t>50.0%</t>
        </is>
      </c>
      <c r="H6" s="14" t="n">
        <v>18250</v>
      </c>
      <c r="I6" s="14" t="n">
        <v>10402500</v>
      </c>
      <c r="J6" s="14" t="n">
        <v>6588250</v>
      </c>
      <c r="K6" s="18" t="n">
        <v>3814250</v>
      </c>
      <c r="L6" s="14" t="n">
        <v>3450</v>
      </c>
      <c r="M6" s="14" t="n">
        <v>1245450</v>
      </c>
    </row>
    <row r="7" ht="17" customHeight="1">
      <c r="A7" s="5" t="inlineStr">
        <is>
          <t>GC1-AS-0098</t>
        </is>
      </c>
      <c r="B7" s="6" t="inlineStr">
        <is>
          <t>4P HGM100 (15~50A)</t>
        </is>
      </c>
      <c r="C7" s="7" t="n">
        <v>540</v>
      </c>
      <c r="D7" s="7" t="n">
        <v>792</v>
      </c>
      <c r="E7" s="8" t="n">
        <v>15000</v>
      </c>
      <c r="F7" s="9" t="n">
        <v>12250</v>
      </c>
      <c r="G7" s="19" t="inlineStr">
        <is>
          <t>81.7%</t>
        </is>
      </c>
      <c r="H7" s="7" t="n">
        <v>9750</v>
      </c>
      <c r="I7" s="7" t="n">
        <v>7722000</v>
      </c>
      <c r="J7" s="7" t="n">
        <v>5265000</v>
      </c>
      <c r="K7" s="11" t="n">
        <v>2457000</v>
      </c>
      <c r="L7" s="7" t="n">
        <v>2700</v>
      </c>
      <c r="M7" s="7" t="n">
        <v>1458000</v>
      </c>
    </row>
    <row r="8" ht="17" customHeight="1">
      <c r="A8" s="12" t="inlineStr">
        <is>
          <t>GC1-AS-0099</t>
        </is>
      </c>
      <c r="B8" s="13" t="inlineStr">
        <is>
          <t>2P HGM100</t>
        </is>
      </c>
      <c r="C8" s="14" t="n">
        <v>243</v>
      </c>
      <c r="D8" s="14" t="n">
        <v>428</v>
      </c>
      <c r="E8" s="15" t="n">
        <v>1500</v>
      </c>
      <c r="F8" s="16" t="n">
        <v>500</v>
      </c>
      <c r="G8" s="17" t="inlineStr">
        <is>
          <t>33.3%</t>
        </is>
      </c>
      <c r="H8" s="14" t="n">
        <v>500</v>
      </c>
      <c r="I8" s="14" t="n">
        <v>214000</v>
      </c>
      <c r="J8" s="14" t="n">
        <v>121500</v>
      </c>
      <c r="K8" s="18" t="n">
        <v>92500</v>
      </c>
      <c r="L8" s="14" t="n">
        <v>0</v>
      </c>
      <c r="M8" s="14" t="n">
        <v>0</v>
      </c>
    </row>
    <row r="9" ht="17" customHeight="1">
      <c r="A9" s="5" t="inlineStr">
        <is>
          <t>GC1-AS-0100</t>
        </is>
      </c>
      <c r="B9" s="6" t="inlineStr">
        <is>
          <t>3P HGM100</t>
        </is>
      </c>
      <c r="C9" s="7" t="n">
        <v>373</v>
      </c>
      <c r="D9" s="7" t="n">
        <v>601</v>
      </c>
      <c r="E9" s="8" t="n">
        <v>25000</v>
      </c>
      <c r="F9" s="9" t="n">
        <v>11400</v>
      </c>
      <c r="G9" s="10" t="inlineStr">
        <is>
          <t>45.6%</t>
        </is>
      </c>
      <c r="H9" s="7" t="n">
        <v>32400</v>
      </c>
      <c r="I9" s="7" t="n">
        <v>19472400</v>
      </c>
      <c r="J9" s="7" t="n">
        <v>12085200</v>
      </c>
      <c r="K9" s="11" t="n">
        <v>7387200</v>
      </c>
      <c r="L9" s="7" t="n">
        <v>-2968</v>
      </c>
      <c r="M9" s="7" t="n">
        <v>-1107064</v>
      </c>
    </row>
    <row r="10" ht="17" customHeight="1">
      <c r="A10" s="12" t="inlineStr">
        <is>
          <t>GC1-AS-0101</t>
        </is>
      </c>
      <c r="B10" s="13" t="inlineStr">
        <is>
          <t>4P HGM100</t>
        </is>
      </c>
      <c r="C10" s="14" t="n">
        <v>556</v>
      </c>
      <c r="D10" s="14" t="n">
        <v>833</v>
      </c>
      <c r="E10" s="15" t="n">
        <v>10000</v>
      </c>
      <c r="F10" s="16" t="n">
        <v>5700</v>
      </c>
      <c r="G10" s="17" t="inlineStr">
        <is>
          <t>57.0%</t>
        </is>
      </c>
      <c r="H10" s="14" t="n">
        <v>10500</v>
      </c>
      <c r="I10" s="14" t="n">
        <v>8746500</v>
      </c>
      <c r="J10" s="14" t="n">
        <v>5838000</v>
      </c>
      <c r="K10" s="18" t="n">
        <v>2908500</v>
      </c>
      <c r="L10" s="14" t="n">
        <v>-3150</v>
      </c>
      <c r="M10" s="14" t="n">
        <v>-1751400</v>
      </c>
    </row>
    <row r="11" ht="17" customHeight="1">
      <c r="A11" s="5" t="inlineStr">
        <is>
          <t>GC1-AS-0117</t>
        </is>
      </c>
      <c r="B11" s="6" t="inlineStr">
        <is>
          <t>3P IN HEX HGM100</t>
        </is>
      </c>
      <c r="C11" s="7" t="n">
        <v>505</v>
      </c>
      <c r="D11" s="7" t="n">
        <v>729</v>
      </c>
      <c r="E11" s="8" t="n">
        <v>0</v>
      </c>
      <c r="F11" s="9" t="n">
        <v>0</v>
      </c>
      <c r="G11" s="20" t="inlineStr">
        <is>
          <t>—</t>
        </is>
      </c>
      <c r="H11" s="7" t="n">
        <v>0</v>
      </c>
      <c r="I11" s="7" t="n">
        <v>0</v>
      </c>
      <c r="J11" s="7" t="n">
        <v>0</v>
      </c>
      <c r="K11" s="11" t="n">
        <v>0</v>
      </c>
      <c r="L11" s="7" t="n">
        <v>0</v>
      </c>
      <c r="M11" s="7" t="n">
        <v>0</v>
      </c>
    </row>
    <row r="12" ht="17" customHeight="1">
      <c r="A12" s="12" t="inlineStr">
        <is>
          <t>GC1-AS-0303</t>
        </is>
      </c>
      <c r="B12" s="13" t="inlineStr">
        <is>
          <t>3P MBOLT HGM100 (15~50A)</t>
        </is>
      </c>
      <c r="C12" s="14" t="n">
        <v>0</v>
      </c>
      <c r="D12" s="14" t="n">
        <v>435</v>
      </c>
      <c r="E12" s="15" t="n">
        <v>0</v>
      </c>
      <c r="F12" s="16" t="n">
        <v>0</v>
      </c>
      <c r="G12" s="21" t="inlineStr">
        <is>
          <t>—</t>
        </is>
      </c>
      <c r="H12" s="14" t="n">
        <v>0</v>
      </c>
      <c r="I12" s="14" t="n">
        <v>0</v>
      </c>
      <c r="J12" s="14" t="n">
        <v>0</v>
      </c>
      <c r="K12" s="18" t="n">
        <v>0</v>
      </c>
      <c r="L12" s="14" t="n">
        <v>0</v>
      </c>
      <c r="M12" s="14" t="n">
        <v>0</v>
      </c>
    </row>
    <row r="13" ht="17" customHeight="1">
      <c r="A13" s="5" t="inlineStr">
        <is>
          <t>GC1-AS-0305</t>
        </is>
      </c>
      <c r="B13" s="6" t="inlineStr">
        <is>
          <t>3P MBOLT HGM100</t>
        </is>
      </c>
      <c r="C13" s="7" t="n">
        <v>0</v>
      </c>
      <c r="D13" s="7" t="n">
        <v>660</v>
      </c>
      <c r="E13" s="8" t="n">
        <v>0</v>
      </c>
      <c r="F13" s="9" t="n">
        <v>0</v>
      </c>
      <c r="G13" s="20" t="inlineStr">
        <is>
          <t>—</t>
        </is>
      </c>
      <c r="H13" s="7" t="n">
        <v>0</v>
      </c>
      <c r="I13" s="7" t="n">
        <v>0</v>
      </c>
      <c r="J13" s="7" t="n">
        <v>0</v>
      </c>
      <c r="K13" s="11" t="n">
        <v>0</v>
      </c>
      <c r="L13" s="7" t="n">
        <v>300</v>
      </c>
      <c r="M13" s="7" t="n">
        <v>0</v>
      </c>
    </row>
    <row r="14" ht="17" customHeight="1">
      <c r="A14" s="12" t="inlineStr">
        <is>
          <t>GC1-AS-0306</t>
        </is>
      </c>
      <c r="B14" s="13" t="inlineStr">
        <is>
          <t>4P MBOLT HGM100</t>
        </is>
      </c>
      <c r="C14" s="14" t="n">
        <v>0</v>
      </c>
      <c r="D14" s="14" t="n">
        <v>655</v>
      </c>
      <c r="E14" s="15" t="n">
        <v>0</v>
      </c>
      <c r="F14" s="16" t="n">
        <v>0</v>
      </c>
      <c r="G14" s="21" t="inlineStr">
        <is>
          <t>—</t>
        </is>
      </c>
      <c r="H14" s="14" t="n">
        <v>0</v>
      </c>
      <c r="I14" s="14" t="n">
        <v>0</v>
      </c>
      <c r="J14" s="14" t="n">
        <v>0</v>
      </c>
      <c r="K14" s="18" t="n">
        <v>0</v>
      </c>
      <c r="L14" s="14" t="n">
        <v>0</v>
      </c>
      <c r="M14" s="14" t="n">
        <v>0</v>
      </c>
    </row>
    <row r="15" ht="17" customHeight="1">
      <c r="A15" s="5" t="inlineStr">
        <is>
          <t>GC3-AS-0065</t>
        </is>
      </c>
      <c r="B15" s="6" t="inlineStr">
        <is>
          <t>2P HGM250</t>
        </is>
      </c>
      <c r="C15" s="7" t="n">
        <v>80</v>
      </c>
      <c r="D15" s="7" t="n">
        <v>492</v>
      </c>
      <c r="E15" s="8" t="n">
        <v>0</v>
      </c>
      <c r="F15" s="9" t="n">
        <v>0</v>
      </c>
      <c r="G15" s="20" t="inlineStr">
        <is>
          <t>—</t>
        </is>
      </c>
      <c r="H15" s="7" t="n">
        <v>0</v>
      </c>
      <c r="I15" s="7" t="n">
        <v>0</v>
      </c>
      <c r="J15" s="7" t="n">
        <v>0</v>
      </c>
      <c r="K15" s="11" t="n">
        <v>0</v>
      </c>
      <c r="L15" s="7" t="n">
        <v>0</v>
      </c>
      <c r="M15" s="7" t="n">
        <v>0</v>
      </c>
    </row>
    <row r="16" ht="17" customHeight="1">
      <c r="A16" s="12" t="inlineStr">
        <is>
          <t>GC3-AS-0092</t>
        </is>
      </c>
      <c r="B16" s="13" t="inlineStr">
        <is>
          <t>3P MBOLT HGM250</t>
        </is>
      </c>
      <c r="C16" s="14" t="n">
        <v>0</v>
      </c>
      <c r="D16" s="14" t="n">
        <v>764</v>
      </c>
      <c r="E16" s="15" t="n">
        <v>0</v>
      </c>
      <c r="F16" s="16" t="n">
        <v>0</v>
      </c>
      <c r="G16" s="21" t="inlineStr">
        <is>
          <t>—</t>
        </is>
      </c>
      <c r="H16" s="14" t="n">
        <v>0</v>
      </c>
      <c r="I16" s="14" t="n">
        <v>0</v>
      </c>
      <c r="J16" s="14" t="n">
        <v>0</v>
      </c>
      <c r="K16" s="18" t="n">
        <v>0</v>
      </c>
      <c r="L16" s="14" t="n">
        <v>0</v>
      </c>
      <c r="M16" s="14" t="n">
        <v>0</v>
      </c>
    </row>
    <row r="17" ht="17" customHeight="1">
      <c r="A17" s="5" t="inlineStr">
        <is>
          <t>GC3-AS-0094</t>
        </is>
      </c>
      <c r="B17" s="6" t="inlineStr">
        <is>
          <t>4P MBOLT HGM250</t>
        </is>
      </c>
      <c r="C17" s="7" t="n">
        <v>0</v>
      </c>
      <c r="D17" s="7" t="n">
        <v>1230</v>
      </c>
      <c r="E17" s="8" t="n">
        <v>0</v>
      </c>
      <c r="F17" s="9" t="n">
        <v>0</v>
      </c>
      <c r="G17" s="20" t="inlineStr">
        <is>
          <t>—</t>
        </is>
      </c>
      <c r="H17" s="7" t="n">
        <v>0</v>
      </c>
      <c r="I17" s="7" t="n">
        <v>0</v>
      </c>
      <c r="J17" s="7" t="n">
        <v>0</v>
      </c>
      <c r="K17" s="11" t="n">
        <v>0</v>
      </c>
      <c r="L17" s="7" t="n">
        <v>0</v>
      </c>
      <c r="M17" s="7" t="n">
        <v>0</v>
      </c>
    </row>
    <row r="18" ht="20" customHeight="1">
      <c r="A18" s="22" t="inlineStr">
        <is>
          <t>합  계</t>
        </is>
      </c>
      <c r="E18" s="23">
        <f>SUM(E5:E17)</f>
        <v/>
      </c>
      <c r="F18" s="23">
        <f>SUM(F5:F17)</f>
        <v/>
      </c>
      <c r="H18" s="23">
        <f>SUM(H5:H17)</f>
        <v/>
      </c>
      <c r="I18" s="23">
        <f>SUM(I5:I17)</f>
        <v/>
      </c>
      <c r="J18" s="23">
        <f>SUM(J5:J17)</f>
        <v/>
      </c>
      <c r="K18" s="23">
        <f>SUM(K5:K17)</f>
        <v/>
      </c>
      <c r="L18" s="23">
        <f>SUM(L5:L17)</f>
        <v/>
      </c>
      <c r="M18" s="23">
        <f>SUM(M5:M17)</f>
        <v/>
      </c>
    </row>
    <row r="19" ht="13" customHeight="1">
      <c r="A19" s="24" t="inlineStr">
        <is>
          <t>* BOM 단위원가: BOM 구성부품 매입단가 합산  |  매출원가 = 출하수량 × BOM 단위원가</t>
        </is>
      </c>
    </row>
  </sheetData>
  <mergeCells count="5">
    <mergeCell ref="A19:M19"/>
    <mergeCell ref="A18:D18"/>
    <mergeCell ref="A1:M1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4" customWidth="1" min="10" max="10"/>
    <col width="11" customWidth="1" min="11" max="11"/>
    <col width="14" customWidth="1" min="12" max="12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스페어파트 손익보고서  —  2026.07</t>
        </is>
      </c>
    </row>
    <row r="3" ht="18" customHeight="1">
      <c r="A3" s="3" t="inlineStr">
        <is>
          <t>외주생산  ·  BOM 재료비 + 포장비 80원/개</t>
        </is>
      </c>
    </row>
    <row r="4" ht="32" customHeight="1">
      <c r="A4" s="4" t="inlineStr">
        <is>
          <t>품번</t>
        </is>
      </c>
      <c r="B4" s="4" t="inlineStr">
        <is>
          <t>품명</t>
        </is>
      </c>
      <c r="C4" s="4" t="inlineStr">
        <is>
          <t>BOM
재료비</t>
        </is>
      </c>
      <c r="D4" s="4" t="inlineStr">
        <is>
          <t>포장비</t>
        </is>
      </c>
      <c r="E4" s="4" t="inlineStr">
        <is>
          <t>합계
원가</t>
        </is>
      </c>
      <c r="F4" s="4" t="inlineStr">
        <is>
          <t>판매
단가</t>
        </is>
      </c>
      <c r="G4" s="4" t="inlineStr">
        <is>
          <t>출하
수량</t>
        </is>
      </c>
      <c r="H4" s="4" t="inlineStr">
        <is>
          <t>매출액
(₩)</t>
        </is>
      </c>
      <c r="I4" s="4" t="inlineStr">
        <is>
          <t>매출원가
(₩)</t>
        </is>
      </c>
      <c r="J4" s="4" t="inlineStr">
        <is>
          <t>매출총이익
(₩)</t>
        </is>
      </c>
      <c r="K4" s="4" t="inlineStr">
        <is>
          <t>월말
재고</t>
        </is>
      </c>
      <c r="L4" s="4" t="inlineStr">
        <is>
          <t>월말재고
금액(₩)</t>
        </is>
      </c>
    </row>
    <row r="5" ht="17" customHeight="1">
      <c r="A5" s="5" t="inlineStr">
        <is>
          <t>GC3-AS-0065</t>
        </is>
      </c>
      <c r="B5" s="6" t="inlineStr">
        <is>
          <t>2P HGM250</t>
        </is>
      </c>
      <c r="C5" s="7" t="n">
        <v>80</v>
      </c>
      <c r="D5" s="8" t="n">
        <v>80</v>
      </c>
      <c r="E5" s="25" t="n">
        <v>160</v>
      </c>
      <c r="F5" s="7" t="n">
        <v>492</v>
      </c>
      <c r="G5" s="7" t="n">
        <v>0</v>
      </c>
      <c r="H5" s="7" t="n">
        <v>0</v>
      </c>
      <c r="I5" s="7" t="n">
        <v>0</v>
      </c>
      <c r="J5" s="11" t="n">
        <v>0</v>
      </c>
      <c r="K5" s="7" t="n">
        <v>0</v>
      </c>
      <c r="L5" s="7" t="n">
        <v>0</v>
      </c>
    </row>
    <row r="6" ht="17" customHeight="1">
      <c r="A6" s="12" t="inlineStr">
        <is>
          <t>GC3-AS-0066</t>
        </is>
      </c>
      <c r="B6" s="13" t="inlineStr">
        <is>
          <t>3P HGM250</t>
        </is>
      </c>
      <c r="C6" s="14" t="n">
        <v>534</v>
      </c>
      <c r="D6" s="15" t="n">
        <v>80</v>
      </c>
      <c r="E6" s="26" t="n">
        <v>614</v>
      </c>
      <c r="F6" s="14" t="n">
        <v>842</v>
      </c>
      <c r="G6" s="14" t="n">
        <v>14200</v>
      </c>
      <c r="H6" s="14" t="n">
        <v>11956400</v>
      </c>
      <c r="I6" s="14" t="n">
        <v>8718800</v>
      </c>
      <c r="J6" s="18" t="n">
        <v>3237600</v>
      </c>
      <c r="K6" s="14" t="n">
        <v>9900</v>
      </c>
      <c r="L6" s="14" t="n">
        <v>6078600</v>
      </c>
    </row>
    <row r="7" ht="17" customHeight="1">
      <c r="A7" s="5" t="inlineStr">
        <is>
          <t>GC3-AS-0067</t>
        </is>
      </c>
      <c r="B7" s="6" t="inlineStr">
        <is>
          <t>4P HGM250</t>
        </is>
      </c>
      <c r="C7" s="7" t="n">
        <v>774</v>
      </c>
      <c r="D7" s="8" t="n">
        <v>80</v>
      </c>
      <c r="E7" s="25" t="n">
        <v>854</v>
      </c>
      <c r="F7" s="7" t="n">
        <v>1171</v>
      </c>
      <c r="G7" s="7" t="n">
        <v>8600</v>
      </c>
      <c r="H7" s="7" t="n">
        <v>10070600</v>
      </c>
      <c r="I7" s="7" t="n">
        <v>7344400</v>
      </c>
      <c r="J7" s="11" t="n">
        <v>2726200</v>
      </c>
      <c r="K7" s="7" t="n">
        <v>5200</v>
      </c>
      <c r="L7" s="7" t="n">
        <v>4440800</v>
      </c>
    </row>
    <row r="8" ht="17" customHeight="1">
      <c r="A8" s="12" t="inlineStr">
        <is>
          <t>GP1-AS-0001</t>
        </is>
      </c>
      <c r="B8" s="13" t="inlineStr">
        <is>
          <t>3P HGP160</t>
        </is>
      </c>
      <c r="C8" s="14" t="n">
        <v>785</v>
      </c>
      <c r="D8" s="15" t="n">
        <v>80</v>
      </c>
      <c r="E8" s="26" t="n">
        <v>865</v>
      </c>
      <c r="F8" s="14" t="n">
        <v>1205</v>
      </c>
      <c r="G8" s="14" t="n">
        <v>4400</v>
      </c>
      <c r="H8" s="14" t="n">
        <v>5302000</v>
      </c>
      <c r="I8" s="14" t="n">
        <v>3806000</v>
      </c>
      <c r="J8" s="18" t="n">
        <v>1496000</v>
      </c>
      <c r="K8" s="14" t="n">
        <v>6650</v>
      </c>
      <c r="L8" s="14" t="n">
        <v>5752250</v>
      </c>
    </row>
    <row r="9" ht="17" customHeight="1">
      <c r="A9" s="5" t="inlineStr">
        <is>
          <t>GP1-AS-0002</t>
        </is>
      </c>
      <c r="B9" s="6" t="inlineStr">
        <is>
          <t>4P HGP160</t>
        </is>
      </c>
      <c r="C9" s="7" t="n">
        <v>1136</v>
      </c>
      <c r="D9" s="8" t="n">
        <v>80</v>
      </c>
      <c r="E9" s="25" t="n">
        <v>1216</v>
      </c>
      <c r="F9" s="7" t="n">
        <v>1709</v>
      </c>
      <c r="G9" s="7" t="n">
        <v>150</v>
      </c>
      <c r="H9" s="7" t="n">
        <v>256350</v>
      </c>
      <c r="I9" s="7" t="n">
        <v>182400</v>
      </c>
      <c r="J9" s="11" t="n">
        <v>73950</v>
      </c>
      <c r="K9" s="7" t="n">
        <v>200</v>
      </c>
      <c r="L9" s="7" t="n">
        <v>243200</v>
      </c>
    </row>
    <row r="10" ht="17" customHeight="1">
      <c r="A10" s="12" t="inlineStr">
        <is>
          <t>GP2-AS-0058</t>
        </is>
      </c>
      <c r="B10" s="13" t="inlineStr">
        <is>
          <t>3P HGP250-G</t>
        </is>
      </c>
      <c r="C10" s="14" t="n">
        <v>810</v>
      </c>
      <c r="D10" s="15" t="n">
        <v>80</v>
      </c>
      <c r="E10" s="26" t="n">
        <v>890</v>
      </c>
      <c r="F10" s="14" t="n">
        <v>1344</v>
      </c>
      <c r="G10" s="14" t="n">
        <v>1300</v>
      </c>
      <c r="H10" s="14" t="n">
        <v>1747200</v>
      </c>
      <c r="I10" s="14" t="n">
        <v>1157000</v>
      </c>
      <c r="J10" s="18" t="n">
        <v>590200</v>
      </c>
      <c r="K10" s="14" t="n">
        <v>800</v>
      </c>
      <c r="L10" s="14" t="n">
        <v>712000</v>
      </c>
    </row>
    <row r="11" ht="17" customHeight="1">
      <c r="A11" s="5" t="inlineStr">
        <is>
          <t>GP2-AS-0059</t>
        </is>
      </c>
      <c r="B11" s="6" t="inlineStr">
        <is>
          <t>4P HGP250-G</t>
        </is>
      </c>
      <c r="C11" s="7" t="n">
        <v>1161</v>
      </c>
      <c r="D11" s="8" t="n">
        <v>80</v>
      </c>
      <c r="E11" s="25" t="n">
        <v>1241</v>
      </c>
      <c r="F11" s="7" t="n">
        <v>1784</v>
      </c>
      <c r="G11" s="7" t="n">
        <v>200</v>
      </c>
      <c r="H11" s="7" t="n">
        <v>356800</v>
      </c>
      <c r="I11" s="7" t="n">
        <v>248200</v>
      </c>
      <c r="J11" s="11" t="n">
        <v>108600</v>
      </c>
      <c r="K11" s="7" t="n">
        <v>200</v>
      </c>
      <c r="L11" s="7" t="n">
        <v>248200</v>
      </c>
    </row>
    <row r="12" ht="20" customHeight="1">
      <c r="A12" s="22" t="inlineStr">
        <is>
          <t>합  계</t>
        </is>
      </c>
      <c r="G12" s="23">
        <f>SUM(G5:G11)</f>
        <v/>
      </c>
      <c r="H12" s="23">
        <f>SUM(H5:H11)</f>
        <v/>
      </c>
      <c r="I12" s="23">
        <f>SUM(I5:I11)</f>
        <v/>
      </c>
      <c r="J12" s="23">
        <f>SUM(J5:J11)</f>
        <v/>
      </c>
      <c r="K12" s="23">
        <f>SUM(K5:K11)</f>
        <v/>
      </c>
      <c r="L12" s="23">
        <f>SUM(L5:L11)</f>
        <v/>
      </c>
    </row>
    <row r="13" ht="13" customHeight="1">
      <c r="A13" s="24" t="inlineStr">
        <is>
          <t>* 합계원가 = BOM 재료비 + 포장비(80원/개)  |  외주품: 출하 시 포장비 기준으로 입고 자동 반영</t>
        </is>
      </c>
    </row>
  </sheetData>
  <mergeCells count="5">
    <mergeCell ref="A2:L2"/>
    <mergeCell ref="A1:L1"/>
    <mergeCell ref="A13:L13"/>
    <mergeCell ref="A12:F12"/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3" customWidth="1" min="5" max="5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스페어파트 손익보고서  —  2026.07</t>
        </is>
      </c>
    </row>
    <row r="3" ht="18" customHeight="1">
      <c r="A3" s="3" t="inlineStr">
        <is>
          <t>손익 종합요약  ·  자체생산 + 외주</t>
        </is>
      </c>
    </row>
    <row r="4" ht="14" customHeight="1">
      <c r="A4" s="27" t="inlineStr">
        <is>
          <t xml:space="preserve">  자체생산</t>
        </is>
      </c>
    </row>
    <row r="5" ht="22" customHeight="1">
      <c r="A5" s="28" t="inlineStr">
        <is>
          <t>품명</t>
        </is>
      </c>
      <c r="B5" s="28" t="inlineStr">
        <is>
          <t>매출액 (₩)</t>
        </is>
      </c>
      <c r="C5" s="28" t="inlineStr">
        <is>
          <t>매출원가 (₩)</t>
        </is>
      </c>
      <c r="D5" s="28" t="inlineStr">
        <is>
          <t>매출총이익 (₩)</t>
        </is>
      </c>
      <c r="E5" s="28" t="inlineStr">
        <is>
          <t>이익률</t>
        </is>
      </c>
    </row>
    <row r="6" ht="17" customHeight="1">
      <c r="A6" s="13" t="inlineStr">
        <is>
          <t>2P HGM100 (15~50A)</t>
        </is>
      </c>
      <c r="B6" s="14" t="n">
        <v>2442000</v>
      </c>
      <c r="C6" s="14" t="n">
        <v>1410000</v>
      </c>
      <c r="D6" s="18" t="n">
        <v>1032000</v>
      </c>
      <c r="E6" s="29" t="n">
        <v>0.4226044226044226</v>
      </c>
    </row>
    <row r="7" ht="17" customHeight="1">
      <c r="A7" s="6" t="inlineStr">
        <is>
          <t>3P HGM100 (15~50A)</t>
        </is>
      </c>
      <c r="B7" s="7" t="n">
        <v>10402500</v>
      </c>
      <c r="C7" s="7" t="n">
        <v>6588250</v>
      </c>
      <c r="D7" s="11" t="n">
        <v>3814250</v>
      </c>
      <c r="E7" s="30" t="n">
        <v>0.3666666666666666</v>
      </c>
    </row>
    <row r="8" ht="17" customHeight="1">
      <c r="A8" s="13" t="inlineStr">
        <is>
          <t>4P HGM100 (15~50A)</t>
        </is>
      </c>
      <c r="B8" s="14" t="n">
        <v>7722000</v>
      </c>
      <c r="C8" s="14" t="n">
        <v>5265000</v>
      </c>
      <c r="D8" s="18" t="n">
        <v>2457000</v>
      </c>
      <c r="E8" s="29" t="n">
        <v>0.3181818181818182</v>
      </c>
    </row>
    <row r="9" ht="17" customHeight="1">
      <c r="A9" s="6" t="inlineStr">
        <is>
          <t>2P HGM100</t>
        </is>
      </c>
      <c r="B9" s="7" t="n">
        <v>214000</v>
      </c>
      <c r="C9" s="7" t="n">
        <v>121500</v>
      </c>
      <c r="D9" s="11" t="n">
        <v>92500</v>
      </c>
      <c r="E9" s="30" t="n">
        <v>0.4322429906542056</v>
      </c>
    </row>
    <row r="10" ht="17" customHeight="1">
      <c r="A10" s="13" t="inlineStr">
        <is>
          <t>3P HGM100</t>
        </is>
      </c>
      <c r="B10" s="14" t="n">
        <v>19472400</v>
      </c>
      <c r="C10" s="14" t="n">
        <v>12085200</v>
      </c>
      <c r="D10" s="18" t="n">
        <v>7387200</v>
      </c>
      <c r="E10" s="29" t="n">
        <v>0.3793677204658902</v>
      </c>
    </row>
    <row r="11" ht="17" customHeight="1">
      <c r="A11" s="6" t="inlineStr">
        <is>
          <t>4P HGM100</t>
        </is>
      </c>
      <c r="B11" s="7" t="n">
        <v>8746500</v>
      </c>
      <c r="C11" s="7" t="n">
        <v>5838000</v>
      </c>
      <c r="D11" s="11" t="n">
        <v>2908500</v>
      </c>
      <c r="E11" s="30" t="n">
        <v>0.3325330132052821</v>
      </c>
    </row>
    <row r="12" ht="17" customHeight="1">
      <c r="A12" s="13" t="inlineStr">
        <is>
          <t>3P IN HEX HGM100</t>
        </is>
      </c>
      <c r="B12" s="14" t="n">
        <v>0</v>
      </c>
      <c r="C12" s="14" t="n">
        <v>0</v>
      </c>
      <c r="D12" s="18" t="n">
        <v>0</v>
      </c>
      <c r="E12" s="29" t="n">
        <v>0</v>
      </c>
    </row>
    <row r="13" ht="17" customHeight="1">
      <c r="A13" s="6" t="inlineStr">
        <is>
          <t>3P MBOLT HGM100 (15~50A)</t>
        </is>
      </c>
      <c r="B13" s="7" t="n">
        <v>0</v>
      </c>
      <c r="C13" s="7" t="n">
        <v>0</v>
      </c>
      <c r="D13" s="11" t="n">
        <v>0</v>
      </c>
      <c r="E13" s="30" t="n">
        <v>0</v>
      </c>
    </row>
    <row r="14" ht="17" customHeight="1">
      <c r="A14" s="13" t="inlineStr">
        <is>
          <t>3P MBOLT HGM100</t>
        </is>
      </c>
      <c r="B14" s="14" t="n">
        <v>0</v>
      </c>
      <c r="C14" s="14" t="n">
        <v>0</v>
      </c>
      <c r="D14" s="18" t="n">
        <v>0</v>
      </c>
      <c r="E14" s="29" t="n">
        <v>0</v>
      </c>
    </row>
    <row r="15" ht="17" customHeight="1">
      <c r="A15" s="6" t="inlineStr">
        <is>
          <t>4P MBOLT HGM100</t>
        </is>
      </c>
      <c r="B15" s="7" t="n">
        <v>0</v>
      </c>
      <c r="C15" s="7" t="n">
        <v>0</v>
      </c>
      <c r="D15" s="11" t="n">
        <v>0</v>
      </c>
      <c r="E15" s="30" t="n">
        <v>0</v>
      </c>
    </row>
    <row r="16" ht="17" customHeight="1">
      <c r="A16" s="13" t="inlineStr">
        <is>
          <t>2P HGM250</t>
        </is>
      </c>
      <c r="B16" s="14" t="n">
        <v>0</v>
      </c>
      <c r="C16" s="14" t="n">
        <v>0</v>
      </c>
      <c r="D16" s="18" t="n">
        <v>0</v>
      </c>
      <c r="E16" s="29" t="n">
        <v>0</v>
      </c>
    </row>
    <row r="17" ht="17" customHeight="1">
      <c r="A17" s="6" t="inlineStr">
        <is>
          <t>3P MBOLT HGM250</t>
        </is>
      </c>
      <c r="B17" s="7" t="n">
        <v>0</v>
      </c>
      <c r="C17" s="7" t="n">
        <v>0</v>
      </c>
      <c r="D17" s="11" t="n">
        <v>0</v>
      </c>
      <c r="E17" s="30" t="n">
        <v>0</v>
      </c>
    </row>
    <row r="18" ht="17" customHeight="1">
      <c r="A18" s="13" t="inlineStr">
        <is>
          <t>4P MBOLT HGM250</t>
        </is>
      </c>
      <c r="B18" s="14" t="n">
        <v>0</v>
      </c>
      <c r="C18" s="14" t="n">
        <v>0</v>
      </c>
      <c r="D18" s="18" t="n">
        <v>0</v>
      </c>
      <c r="E18" s="29" t="n">
        <v>0</v>
      </c>
    </row>
    <row r="19" ht="19" customHeight="1">
      <c r="A19" s="22" t="inlineStr">
        <is>
          <t>소  계</t>
        </is>
      </c>
      <c r="B19" s="23">
        <f>SUM(B6:B18)</f>
        <v/>
      </c>
      <c r="C19" s="23">
        <f>SUM(C6:C18)</f>
        <v/>
      </c>
      <c r="D19" s="23">
        <f>SUM(D6:D18)</f>
        <v/>
      </c>
      <c r="E19" s="31">
        <f>IFERROR(D19/B19,0)</f>
        <v/>
      </c>
    </row>
    <row r="21" ht="14" customHeight="1">
      <c r="A21" s="27" t="inlineStr">
        <is>
          <t xml:space="preserve">  외주생산</t>
        </is>
      </c>
    </row>
    <row r="22" ht="22" customHeight="1">
      <c r="A22" s="28" t="inlineStr">
        <is>
          <t>품명</t>
        </is>
      </c>
      <c r="B22" s="28" t="inlineStr">
        <is>
          <t>매출액 (₩)</t>
        </is>
      </c>
      <c r="C22" s="28" t="inlineStr">
        <is>
          <t>매출원가 (₩)</t>
        </is>
      </c>
      <c r="D22" s="28" t="inlineStr">
        <is>
          <t>매출총이익 (₩)</t>
        </is>
      </c>
      <c r="E22" s="28" t="inlineStr">
        <is>
          <t>이익률</t>
        </is>
      </c>
    </row>
    <row r="23" ht="17" customHeight="1">
      <c r="A23" s="6" t="inlineStr">
        <is>
          <t>2P HGM250</t>
        </is>
      </c>
      <c r="B23" s="7" t="n">
        <v>0</v>
      </c>
      <c r="C23" s="7" t="n">
        <v>0</v>
      </c>
      <c r="D23" s="11" t="n">
        <v>0</v>
      </c>
      <c r="E23" s="30" t="n">
        <v>0</v>
      </c>
    </row>
    <row r="24" ht="17" customHeight="1">
      <c r="A24" s="13" t="inlineStr">
        <is>
          <t>3P HGM250</t>
        </is>
      </c>
      <c r="B24" s="14" t="n">
        <v>11956400</v>
      </c>
      <c r="C24" s="14" t="n">
        <v>8718800</v>
      </c>
      <c r="D24" s="18" t="n">
        <v>3237600</v>
      </c>
      <c r="E24" s="29" t="n">
        <v>0.2707838479809976</v>
      </c>
    </row>
    <row r="25" ht="17" customHeight="1">
      <c r="A25" s="6" t="inlineStr">
        <is>
          <t>4P HGM250</t>
        </is>
      </c>
      <c r="B25" s="7" t="n">
        <v>10070600</v>
      </c>
      <c r="C25" s="7" t="n">
        <v>7344400</v>
      </c>
      <c r="D25" s="11" t="n">
        <v>2726200</v>
      </c>
      <c r="E25" s="30" t="n">
        <v>0.2707087959009394</v>
      </c>
    </row>
    <row r="26" ht="17" customHeight="1">
      <c r="A26" s="13" t="inlineStr">
        <is>
          <t>3P HGP160</t>
        </is>
      </c>
      <c r="B26" s="14" t="n">
        <v>5302000</v>
      </c>
      <c r="C26" s="14" t="n">
        <v>3806000</v>
      </c>
      <c r="D26" s="18" t="n">
        <v>1496000</v>
      </c>
      <c r="E26" s="29" t="n">
        <v>0.2821576763485477</v>
      </c>
    </row>
    <row r="27" ht="17" customHeight="1">
      <c r="A27" s="6" t="inlineStr">
        <is>
          <t>4P HGP160</t>
        </is>
      </c>
      <c r="B27" s="7" t="n">
        <v>256350</v>
      </c>
      <c r="C27" s="7" t="n">
        <v>182400</v>
      </c>
      <c r="D27" s="11" t="n">
        <v>73950</v>
      </c>
      <c r="E27" s="30" t="n">
        <v>0.2884727911059099</v>
      </c>
    </row>
    <row r="28" ht="17" customHeight="1">
      <c r="A28" s="13" t="inlineStr">
        <is>
          <t>3P HGP250-G</t>
        </is>
      </c>
      <c r="B28" s="14" t="n">
        <v>1747200</v>
      </c>
      <c r="C28" s="14" t="n">
        <v>1157000</v>
      </c>
      <c r="D28" s="18" t="n">
        <v>590200</v>
      </c>
      <c r="E28" s="29" t="n">
        <v>0.3377976190476191</v>
      </c>
    </row>
    <row r="29" ht="17" customHeight="1">
      <c r="A29" s="6" t="inlineStr">
        <is>
          <t>4P HGP250-G</t>
        </is>
      </c>
      <c r="B29" s="7" t="n">
        <v>356800</v>
      </c>
      <c r="C29" s="7" t="n">
        <v>248200</v>
      </c>
      <c r="D29" s="11" t="n">
        <v>108600</v>
      </c>
      <c r="E29" s="30" t="n">
        <v>0.3043721973094171</v>
      </c>
    </row>
    <row r="30" ht="19" customHeight="1">
      <c r="A30" s="22" t="inlineStr">
        <is>
          <t>소  계</t>
        </is>
      </c>
      <c r="B30" s="23">
        <f>SUM(B23:B29)</f>
        <v/>
      </c>
      <c r="C30" s="23">
        <f>SUM(C23:C29)</f>
        <v/>
      </c>
      <c r="D30" s="23">
        <f>SUM(D23:D29)</f>
        <v/>
      </c>
      <c r="E30" s="31">
        <f>IFERROR(D30/B30,0)</f>
        <v/>
      </c>
    </row>
    <row r="32" ht="14" customHeight="1">
      <c r="A32" s="27" t="inlineStr">
        <is>
          <t xml:space="preserve">  종합</t>
        </is>
      </c>
    </row>
    <row r="33" ht="22" customHeight="1">
      <c r="A33" s="28" t="inlineStr">
        <is>
          <t>품명</t>
        </is>
      </c>
      <c r="B33" s="28" t="inlineStr">
        <is>
          <t>매출액 (₩)</t>
        </is>
      </c>
      <c r="C33" s="28" t="inlineStr">
        <is>
          <t>매출원가 (₩)</t>
        </is>
      </c>
      <c r="D33" s="28" t="inlineStr">
        <is>
          <t>매출총이익 (₩)</t>
        </is>
      </c>
      <c r="E33" s="28" t="inlineStr">
        <is>
          <t>이익률</t>
        </is>
      </c>
    </row>
    <row r="34" ht="22" customHeight="1">
      <c r="A34" s="32" t="inlineStr">
        <is>
          <t>합  계</t>
        </is>
      </c>
      <c r="B34" s="33" t="n">
        <v>78688750</v>
      </c>
      <c r="C34" s="33" t="n">
        <v>52764750</v>
      </c>
      <c r="D34" s="33" t="n">
        <v>25924000</v>
      </c>
      <c r="E34" s="34" t="n">
        <v>0.3294498895966704</v>
      </c>
    </row>
    <row r="36" ht="14" customHeight="1">
      <c r="A36" s="27" t="inlineStr">
        <is>
          <t xml:space="preserve">  월말 재고현황</t>
        </is>
      </c>
    </row>
    <row r="37" ht="22" customHeight="1">
      <c r="A37" s="28" t="inlineStr">
        <is>
          <t>구분</t>
        </is>
      </c>
      <c r="B37" s="28" t="inlineStr">
        <is>
          <t>수량 (EA)</t>
        </is>
      </c>
      <c r="C37" s="28" t="inlineStr">
        <is>
          <t>금액 (₩)</t>
        </is>
      </c>
      <c r="D37" s="28" t="inlineStr">
        <is>
          <t>산출기준</t>
        </is>
      </c>
      <c r="E37" s="28" t="inlineStr"/>
    </row>
    <row r="38" ht="17" customHeight="1">
      <c r="A38" s="13" t="inlineStr">
        <is>
          <t>자체생산</t>
        </is>
      </c>
      <c r="B38" s="26" t="n">
        <v>1532</v>
      </c>
      <c r="C38" s="26" t="n">
        <v>126986</v>
      </c>
      <c r="D38" s="35" t="inlineStr">
        <is>
          <t>BOM 단위원가</t>
        </is>
      </c>
      <c r="E38" s="13" t="inlineStr"/>
    </row>
    <row r="39" ht="17" customHeight="1">
      <c r="A39" s="6" t="inlineStr">
        <is>
          <t>외주생산</t>
        </is>
      </c>
      <c r="B39" s="25" t="n">
        <v>22950</v>
      </c>
      <c r="C39" s="25" t="n">
        <v>17475050</v>
      </c>
      <c r="D39" s="36" t="inlineStr">
        <is>
          <t>BOM재료비+포장비</t>
        </is>
      </c>
      <c r="E39" s="6" t="inlineStr"/>
    </row>
    <row r="40" ht="19" customHeight="1">
      <c r="A40" s="37" t="inlineStr">
        <is>
          <t>합  계</t>
        </is>
      </c>
      <c r="B40" s="23" t="n">
        <v>24482</v>
      </c>
      <c r="C40" s="23" t="n">
        <v>17602036</v>
      </c>
      <c r="D40" s="38" t="inlineStr"/>
      <c r="E40" s="38" t="inlineStr"/>
    </row>
  </sheetData>
  <mergeCells count="7">
    <mergeCell ref="A21:E21"/>
    <mergeCell ref="A4:E4"/>
    <mergeCell ref="A2:E2"/>
    <mergeCell ref="A1:E1"/>
    <mergeCell ref="A32:E32"/>
    <mergeCell ref="A36:E3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</cols>
  <sheetData>
    <row r="1" ht="14" customHeight="1">
      <c r="A1" s="39" t="inlineStr">
        <is>
          <t>NEXGEM CO., LTD.</t>
        </is>
      </c>
    </row>
    <row r="2" ht="36" customHeight="1">
      <c r="A2" s="40" t="inlineStr">
        <is>
          <t>경영 분석보고서  —  2026.07</t>
        </is>
      </c>
    </row>
    <row r="3" ht="18" customHeight="1">
      <c r="A3" s="41" t="inlineStr">
        <is>
          <t>자동 생성 · 데이터 출처: ERP 재고원장 및 생산실적</t>
        </is>
      </c>
    </row>
    <row r="4" ht="20" customHeight="1">
      <c r="A4" s="42" t="inlineStr">
        <is>
          <t xml:space="preserve">  01  월간 손익 요약</t>
        </is>
      </c>
    </row>
    <row r="5" ht="17" customHeight="1">
      <c r="A5" s="43" t="inlineStr">
        <is>
          <t>매출 합계</t>
        </is>
      </c>
      <c r="B5" s="44" t="inlineStr">
        <is>
          <t>₩78,688,750</t>
        </is>
      </c>
    </row>
    <row r="6" ht="17" customHeight="1">
      <c r="A6" s="43" t="inlineStr">
        <is>
          <t>매출원가 합계</t>
        </is>
      </c>
      <c r="B6" s="45" t="inlineStr">
        <is>
          <t>₩52,764,750</t>
        </is>
      </c>
    </row>
    <row r="7" ht="17" customHeight="1">
      <c r="A7" s="43" t="inlineStr">
        <is>
          <t>매출총이익</t>
        </is>
      </c>
      <c r="B7" s="46" t="inlineStr">
        <is>
          <t>₩25,924,000</t>
        </is>
      </c>
    </row>
    <row r="8" ht="17" customHeight="1">
      <c r="A8" s="43" t="inlineStr">
        <is>
          <t>매출총이익률</t>
        </is>
      </c>
      <c r="B8" s="46" t="inlineStr">
        <is>
          <t>32.9%</t>
        </is>
      </c>
    </row>
    <row r="10" ht="20" customHeight="1">
      <c r="A10" s="42" t="inlineStr">
        <is>
          <t xml:space="preserve">  02  자체생산 달성 현황</t>
        </is>
      </c>
    </row>
    <row r="11" ht="17" customHeight="1">
      <c r="A11" s="43" t="inlineStr">
        <is>
          <t>월 생산계획 합계</t>
        </is>
      </c>
      <c r="B11" s="45" t="inlineStr">
        <is>
          <t>72,500 EA</t>
        </is>
      </c>
    </row>
    <row r="12" ht="17" customHeight="1">
      <c r="A12" s="43" t="inlineStr">
        <is>
          <t>월 생산실적 합계</t>
        </is>
      </c>
      <c r="B12" s="47" t="inlineStr">
        <is>
          <t>41,450 EA</t>
        </is>
      </c>
    </row>
    <row r="13" ht="17" customHeight="1">
      <c r="A13" s="43" t="inlineStr">
        <is>
          <t>달성률</t>
        </is>
      </c>
      <c r="B13" s="47" t="inlineStr">
        <is>
          <t>57.2%</t>
        </is>
      </c>
    </row>
    <row r="14" ht="16" customHeight="1">
      <c r="A14" s="45" t="inlineStr">
        <is>
          <t>▶ 이번 달 자체생산 달성률은 57.2% 로 계획 대비 미달입니다.</t>
        </is>
      </c>
    </row>
    <row r="15" ht="16" customHeight="1">
      <c r="A15" s="48" t="inlineStr">
        <is>
          <t xml:space="preserve">  미달 품목:</t>
        </is>
      </c>
    </row>
    <row r="16" ht="16" customHeight="1">
      <c r="A16" s="48" t="inlineStr">
        <is>
          <t xml:space="preserve">  • 2P HGM100 (15~50A) (GC1-AS-0096)  계획 6,000 → 실적 4,100  미달 1,900 EA  (68%)</t>
        </is>
      </c>
    </row>
    <row r="17" ht="16" customHeight="1">
      <c r="A17" s="48" t="inlineStr">
        <is>
          <t xml:space="preserve">  • 3P HGM100 (15~50A) (GC1-AS-0097)  계획 15,000 → 실적 7,500  미달 7,500 EA  (50%)</t>
        </is>
      </c>
    </row>
    <row r="18" ht="16" customHeight="1">
      <c r="A18" s="48" t="inlineStr">
        <is>
          <t xml:space="preserve">  • 4P HGM100 (15~50A) (GC1-AS-0098)  계획 15,000 → 실적 12,250  미달 2,750 EA  (82%)</t>
        </is>
      </c>
    </row>
    <row r="19" ht="16" customHeight="1">
      <c r="A19" s="48" t="inlineStr">
        <is>
          <t xml:space="preserve">  • 2P HGM100 (GC1-AS-0099)  계획 1,500 → 실적 500  미달 1,000 EA  (33%)</t>
        </is>
      </c>
    </row>
    <row r="20" ht="16" customHeight="1">
      <c r="A20" s="48" t="inlineStr">
        <is>
          <t xml:space="preserve">  • 3P HGM100 (GC1-AS-0100)  계획 25,000 → 실적 11,400  미달 13,600 EA  (46%)</t>
        </is>
      </c>
    </row>
    <row r="21" ht="16" customHeight="1">
      <c r="A21" s="48" t="inlineStr">
        <is>
          <t xml:space="preserve">  • 4P HGM100 (GC1-AS-0101)  계획 10,000 → 실적 5,700  미달 4,300 EA  (57%)</t>
        </is>
      </c>
    </row>
    <row r="23" ht="20" customHeight="1">
      <c r="A23" s="42" t="inlineStr">
        <is>
          <t xml:space="preserve">  03  기회손실 분석  (100% 달성 가정)</t>
        </is>
      </c>
    </row>
    <row r="24" ht="16" customHeight="1">
      <c r="A24" s="45" t="inlineStr">
        <is>
          <t>▶ 생산 달성률이 57.2% 에 그쳐 아래와 같은 기회손실이 발생했습니다.</t>
        </is>
      </c>
    </row>
    <row r="25" ht="8" customHeight="1">
      <c r="A25" s="45" t="inlineStr"/>
    </row>
    <row r="26" ht="16" customHeight="1">
      <c r="A26" s="48" t="inlineStr">
        <is>
          <t xml:space="preserve">  계획 대비 미달 생산량 기준 예상 추가 순익:</t>
        </is>
      </c>
    </row>
    <row r="27" ht="16" customHeight="1">
      <c r="A27" s="48" t="inlineStr">
        <is>
          <t xml:space="preserve">  → 약 ₩16,035,997 의 이익 기회가 손실되었습니다.</t>
        </is>
      </c>
    </row>
    <row r="28" ht="8" customHeight="1">
      <c r="A28" s="45" t="inlineStr"/>
    </row>
    <row r="29" ht="16" customHeight="1">
      <c r="A29" s="49" t="inlineStr">
        <is>
          <t xml:space="preserve">  100% 달성 시 예상 자체생산 순익: ₩33,727,447</t>
        </is>
      </c>
    </row>
    <row r="30" ht="16" customHeight="1">
      <c r="A30" s="45" t="inlineStr">
        <is>
          <t xml:space="preserve">  실제 자체생산 순익:             ₩17,691,450</t>
        </is>
      </c>
    </row>
    <row r="31" ht="16" customHeight="1">
      <c r="A31" s="48" t="inlineStr">
        <is>
          <t xml:space="preserve">  차이 (기회손실):                ₩16,035,997</t>
        </is>
      </c>
    </row>
    <row r="33" ht="20" customHeight="1">
      <c r="A33" s="42" t="inlineStr">
        <is>
          <t xml:space="preserve">  04  외주 품목 실적</t>
        </is>
      </c>
    </row>
    <row r="34" ht="16" customHeight="1">
      <c r="A34" s="45" t="inlineStr">
        <is>
          <t>▶ 이번 달 외주 출하 실적:</t>
        </is>
      </c>
    </row>
    <row r="35" ht="16" customHeight="1">
      <c r="A35" s="45" t="inlineStr">
        <is>
          <t xml:space="preserve">  • 3P HGM250  출하 14,200 EA  매출 ₩11,956,400  순익 ₩3,237,600  (마진 27.1%)</t>
        </is>
      </c>
    </row>
    <row r="36" ht="16" customHeight="1">
      <c r="A36" s="45" t="inlineStr">
        <is>
          <t xml:space="preserve">  • 4P HGM250  출하 8,600 EA  매출 ₩10,070,600  순익 ₩2,726,200  (마진 27.1%)</t>
        </is>
      </c>
    </row>
    <row r="37" ht="16" customHeight="1">
      <c r="A37" s="45" t="inlineStr">
        <is>
          <t xml:space="preserve">  • 3P HGP160  출하 4,400 EA  매출 ₩5,302,000  순익 ₩1,496,000  (마진 28.2%)</t>
        </is>
      </c>
    </row>
    <row r="38" ht="16" customHeight="1">
      <c r="A38" s="45" t="inlineStr">
        <is>
          <t xml:space="preserve">  • 3P HGP250-G  출하 1,300 EA  매출 ₩1,747,200  순익 ₩590,200  (마진 33.8%)</t>
        </is>
      </c>
    </row>
    <row r="39" ht="16" customHeight="1">
      <c r="A39" s="45" t="inlineStr">
        <is>
          <t xml:space="preserve">  • 4P HGP250-G  출하 200 EA  매출 ₩356,800  순익 ₩108,600  (마진 30.4%)</t>
        </is>
      </c>
    </row>
    <row r="40" ht="16" customHeight="1">
      <c r="A40" s="45" t="inlineStr">
        <is>
          <t xml:space="preserve">  • 4P HGP160  출하 150 EA  매출 ₩256,350  순익 ₩73,950  (마진 28.8%)</t>
        </is>
      </c>
    </row>
    <row r="41" ht="16" customHeight="1">
      <c r="A41" s="45" t="inlineStr">
        <is>
          <t>▶ 이번 달 출하 없는 외주 품목:</t>
        </is>
      </c>
    </row>
    <row r="42" ht="16" customHeight="1">
      <c r="A42" s="45" t="inlineStr">
        <is>
          <t xml:space="preserve">  • 2P HGM250 (GC3-AS-0065)  재고 0 EA</t>
        </is>
      </c>
    </row>
    <row r="44" ht="20" customHeight="1">
      <c r="A44" s="42" t="inlineStr">
        <is>
          <t xml:space="preserve">  05  개선 권고사항</t>
        </is>
      </c>
    </row>
    <row r="45" ht="16" customHeight="1">
      <c r="A45" s="45" t="inlineStr">
        <is>
          <t xml:space="preserve">  1.  생산 달성률 개선</t>
        </is>
      </c>
    </row>
    <row r="46" ht="16" customHeight="1">
      <c r="A46" s="48" t="inlineStr">
        <is>
          <t xml:space="preserve">     자체생산 달성률 57.2% → 목표 100%. 미달 품목 ['GC1-AS-0096', 'GC1-AS-0097', 'GC1-AS-0098', 'GC1-AS-0099', 'GC1-AS-0100', 'GC1-AS-0101'] 의 병목 원인을 파악하고 일별 실적 모니터링 강화 및 작업 우선순위 재배분을 권장합니다.</t>
        </is>
      </c>
    </row>
    <row r="47" ht="8" customHeight="1">
      <c r="A47" s="45" t="inlineStr"/>
    </row>
    <row r="48" ht="16" customHeight="1">
      <c r="A48" s="50" t="inlineStr">
        <is>
          <t xml:space="preserve">  2.  긴급 재고 점검</t>
        </is>
      </c>
    </row>
    <row r="49" ht="16" customHeight="1">
      <c r="A49" s="51" t="inlineStr">
        <is>
          <t xml:space="preserve">     달성률 57.2% 는 위험 수준입니다. 미달 품목의 현재고를 즉시 점검하고 고객 납기 영향 여부를 확인하십시오.</t>
        </is>
      </c>
    </row>
    <row r="50" ht="8" customHeight="1">
      <c r="A50" s="50" t="inlineStr"/>
    </row>
    <row r="51" ht="16" customHeight="1">
      <c r="A51" s="45" t="inlineStr">
        <is>
          <t xml:space="preserve">  3.  외주 품목 수주 확인</t>
        </is>
      </c>
    </row>
    <row r="52" ht="16" customHeight="1">
      <c r="A52" s="45" t="inlineStr">
        <is>
          <t xml:space="preserve">     2P HGM250 이번 달 출하 0건. 고객사 수주 현황 및 외주처 생산 준비 상태를 확인하여 다음 달 물량 확보 계획을 수립하십시오.</t>
        </is>
      </c>
    </row>
    <row r="53" ht="8" customHeight="1">
      <c r="A53" s="45" t="inlineStr"/>
    </row>
    <row r="55" ht="14" customHeight="1">
      <c r="A55" s="52" t="inlineStr">
        <is>
          <t>생성일시: 2026-08-07 15:55  |  NEXGEM ERP 시스템</t>
        </is>
      </c>
    </row>
  </sheetData>
  <mergeCells count="50">
    <mergeCell ref="A25:C25"/>
    <mergeCell ref="A41:C41"/>
    <mergeCell ref="B7:C7"/>
    <mergeCell ref="A37:C37"/>
    <mergeCell ref="A46:C46"/>
    <mergeCell ref="A18:C18"/>
    <mergeCell ref="A27:C27"/>
    <mergeCell ref="A3:C3"/>
    <mergeCell ref="A21:C21"/>
    <mergeCell ref="A55:C55"/>
    <mergeCell ref="A50:C50"/>
    <mergeCell ref="A26:C26"/>
    <mergeCell ref="A2:C2"/>
    <mergeCell ref="B12:C12"/>
    <mergeCell ref="A42:C42"/>
    <mergeCell ref="A33:C33"/>
    <mergeCell ref="A47:C47"/>
    <mergeCell ref="B11:C11"/>
    <mergeCell ref="A23:C23"/>
    <mergeCell ref="A14:C14"/>
    <mergeCell ref="A17:C17"/>
    <mergeCell ref="A53:C53"/>
    <mergeCell ref="A29:C29"/>
    <mergeCell ref="A4:C4"/>
    <mergeCell ref="B8:C8"/>
    <mergeCell ref="A20:C20"/>
    <mergeCell ref="A35:C35"/>
    <mergeCell ref="A38:C38"/>
    <mergeCell ref="A52:C52"/>
    <mergeCell ref="A10:C10"/>
    <mergeCell ref="B13:C13"/>
    <mergeCell ref="A28:C28"/>
    <mergeCell ref="A19:C19"/>
    <mergeCell ref="A44:C44"/>
    <mergeCell ref="A31:C31"/>
    <mergeCell ref="A40:C40"/>
    <mergeCell ref="A30:C30"/>
    <mergeCell ref="A39:C39"/>
    <mergeCell ref="A34:C34"/>
    <mergeCell ref="A15:C15"/>
    <mergeCell ref="A48:C48"/>
    <mergeCell ref="A24:C24"/>
    <mergeCell ref="A51:C51"/>
    <mergeCell ref="B6:C6"/>
    <mergeCell ref="A36:C36"/>
    <mergeCell ref="A49:C49"/>
    <mergeCell ref="A1:C1"/>
    <mergeCell ref="A45:C45"/>
    <mergeCell ref="B5:C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2026-08-07T06:55:51Z</dcterms:created>
  <dcterms:modified xmlns:dcterms="http://purl.org/dc/terms/" xmlns:xsi="http://www.w3.org/2001/XMLSchema-instance" xsi:type="dcterms:W3CDTF">2026-08-07T06:55:51Z</dcterms:modified>
</cp:coreProperties>
</file>