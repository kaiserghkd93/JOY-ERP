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외주처 손익" sheetId="1" state="visible" r:id="rId1"/>
    <sheet xmlns:r="http://schemas.openxmlformats.org/officeDocument/2006/relationships" name="고객사별 매출" sheetId="2" state="visible" r:id="rId2"/>
  </sheets>
  <definedNames>
    <definedName name="_xlnm.Print_Area" localSheetId="0">'외주처 손익'!$A$1:$J$115</definedName>
    <definedName name="_xlnm.Print_Area" localSheetId="1">'고객사별 매출'!$A$1:$G$306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9">
    <font>
      <name val="Calibri"/>
      <family val="2"/>
      <color theme="1"/>
      <sz val="11"/>
      <scheme val="minor"/>
    </font>
    <font>
      <name val="Arial"/>
      <b val="1"/>
      <color rgb="008E8E93"/>
      <sz val="8"/>
    </font>
    <font>
      <name val="Arial"/>
      <b val="1"/>
      <color rgb="00FFFFFF"/>
      <sz val="16"/>
    </font>
    <font>
      <name val="Arial"/>
      <color rgb="008E8E93"/>
      <sz val="9"/>
    </font>
    <font>
      <name val="Arial"/>
      <color rgb="008E8E93"/>
      <sz val="8"/>
    </font>
    <font>
      <name val="Arial"/>
      <b val="1"/>
      <color rgb="000A84FF"/>
      <sz val="11"/>
    </font>
    <font>
      <name val="Arial"/>
      <b val="1"/>
      <color rgb="0030D158"/>
      <sz val="11"/>
    </font>
    <font>
      <name val="Arial"/>
      <b val="1"/>
      <color rgb="008E8E93"/>
      <sz val="11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b val="1"/>
      <color rgb="000D0D0D"/>
      <sz val="9"/>
    </font>
    <font>
      <name val="Arial"/>
      <color rgb="000D0D0D"/>
      <sz val="9"/>
    </font>
    <font>
      <name val="Arial"/>
      <b val="1"/>
      <color rgb="000A84FF"/>
      <sz val="9"/>
    </font>
    <font>
      <name val="Arial"/>
      <b val="1"/>
      <color rgb="0030D158"/>
      <sz val="9"/>
    </font>
    <font>
      <name val="Arial"/>
      <b val="1"/>
      <color rgb="00FFFFFF"/>
      <sz val="9"/>
    </font>
    <font>
      <name val="Arial"/>
      <color rgb="003A3A3C"/>
      <sz val="9"/>
    </font>
    <font>
      <name val="Arial"/>
      <color rgb="0030D158"/>
      <sz val="9"/>
    </font>
    <font>
      <name val="Arial"/>
      <b val="1"/>
      <color rgb="00FFFFFF"/>
      <sz val="14"/>
    </font>
    <font>
      <name val="Arial"/>
      <b val="1"/>
      <color rgb="00FF3B30"/>
      <sz val="9"/>
    </font>
  </fonts>
  <fills count="10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1C1C1E"/>
      </patternFill>
    </fill>
    <fill>
      <patternFill patternType="solid">
        <fgColor rgb="00F2F2F2"/>
      </patternFill>
    </fill>
    <fill>
      <patternFill patternType="solid">
        <fgColor rgb="00F9F9FB"/>
      </patternFill>
    </fill>
    <fill>
      <patternFill patternType="solid">
        <fgColor rgb="00FFFFFF"/>
      </patternFill>
    </fill>
    <fill>
      <patternFill patternType="solid">
        <fgColor rgb="003A3A3C"/>
      </patternFill>
    </fill>
    <fill>
      <patternFill patternType="solid">
        <fgColor rgb="00EEF2FF"/>
      </patternFill>
    </fill>
    <fill>
      <patternFill patternType="solid">
        <fgColor rgb="00F0FDF4"/>
      </patternFill>
    </fill>
  </fills>
  <borders count="7">
    <border>
      <left/>
      <right/>
      <top/>
      <bottom/>
      <diagonal/>
    </border>
    <border>
      <right style="thin">
        <color rgb="002C2C2E"/>
      </right>
      <bottom style="medium">
        <color rgb="00FFFFFF"/>
      </bottom>
    </border>
    <border>
      <bottom style="thin">
        <color rgb="00E5E5EA"/>
      </bottom>
    </border>
    <border/>
    <border>
      <left style="thin">
        <color rgb="00E5E5EA"/>
      </left>
      <right style="thin">
        <color rgb="00E5E5EA"/>
      </right>
      <top style="thin">
        <color rgb="00E5E5EA"/>
      </top>
      <bottom style="thin">
        <color rgb="00000000"/>
      </bottom>
    </border>
    <border>
      <left style="thin">
        <color rgb="00AAAAAA"/>
      </left>
      <right style="thin">
        <color rgb="00AAAAAA"/>
      </right>
    </border>
    <border>
      <left style="thin">
        <color rgb="00E5E5EA"/>
      </left>
      <right style="thin">
        <color rgb="00E5E5EA"/>
      </right>
      <top style="thin">
        <color rgb="00000000"/>
      </top>
      <bottom style="thin">
        <color rgb="00E5E5EA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 wrapText="1"/>
    </xf>
    <xf numFmtId="49" fontId="3" fillId="5" borderId="2" applyAlignment="1" pivotButton="0" quotePrefix="0" xfId="0">
      <alignment horizontal="center" vertical="center"/>
    </xf>
    <xf numFmtId="49" fontId="10" fillId="5" borderId="2" applyAlignment="1" pivotButton="0" quotePrefix="0" xfId="0">
      <alignment horizontal="left" vertical="center"/>
    </xf>
    <xf numFmtId="3" fontId="11" fillId="5" borderId="2" applyAlignment="1" pivotButton="0" quotePrefix="0" xfId="0">
      <alignment horizontal="right" vertical="center"/>
    </xf>
    <xf numFmtId="3" fontId="12" fillId="5" borderId="2" applyAlignment="1" pivotButton="0" quotePrefix="0" xfId="0">
      <alignment horizontal="right" vertical="center"/>
    </xf>
    <xf numFmtId="3" fontId="13" fillId="5" borderId="2" applyAlignment="1" pivotButton="0" quotePrefix="0" xfId="0">
      <alignment horizontal="right" vertical="center"/>
    </xf>
    <xf numFmtId="164" fontId="13" fillId="5" borderId="2" applyAlignment="1" pivotButton="0" quotePrefix="0" xfId="0">
      <alignment horizontal="center" vertical="center"/>
    </xf>
    <xf numFmtId="3" fontId="3" fillId="5" borderId="2" applyAlignment="1" pivotButton="0" quotePrefix="0" xfId="0">
      <alignment horizontal="center" vertical="center"/>
    </xf>
    <xf numFmtId="49" fontId="11" fillId="5" borderId="2" applyAlignment="1" pivotButton="0" quotePrefix="0" xfId="0">
      <alignment horizontal="left" vertical="center"/>
    </xf>
    <xf numFmtId="49" fontId="3" fillId="6" borderId="2" applyAlignment="1" pivotButton="0" quotePrefix="0" xfId="0">
      <alignment horizontal="center" vertical="center"/>
    </xf>
    <xf numFmtId="49" fontId="10" fillId="6" borderId="2" applyAlignment="1" pivotButton="0" quotePrefix="0" xfId="0">
      <alignment horizontal="left" vertical="center"/>
    </xf>
    <xf numFmtId="3" fontId="11" fillId="6" borderId="2" applyAlignment="1" pivotButton="0" quotePrefix="0" xfId="0">
      <alignment horizontal="right" vertical="center"/>
    </xf>
    <xf numFmtId="3" fontId="12" fillId="6" borderId="2" applyAlignment="1" pivotButton="0" quotePrefix="0" xfId="0">
      <alignment horizontal="right" vertical="center"/>
    </xf>
    <xf numFmtId="3" fontId="13" fillId="6" borderId="2" applyAlignment="1" pivotButton="0" quotePrefix="0" xfId="0">
      <alignment horizontal="right" vertical="center"/>
    </xf>
    <xf numFmtId="164" fontId="13" fillId="6" borderId="2" applyAlignment="1" pivotButton="0" quotePrefix="0" xfId="0">
      <alignment horizontal="center" vertical="center"/>
    </xf>
    <xf numFmtId="3" fontId="3" fillId="6" borderId="2" applyAlignment="1" pivotButton="0" quotePrefix="0" xfId="0">
      <alignment horizontal="center" vertical="center"/>
    </xf>
    <xf numFmtId="49" fontId="11" fillId="6" borderId="2" applyAlignment="1" pivotButton="0" quotePrefix="0" xfId="0">
      <alignment horizontal="left" vertical="center"/>
    </xf>
    <xf numFmtId="0" fontId="14" fillId="7" borderId="3" applyAlignment="1" pivotButton="0" quotePrefix="0" xfId="0">
      <alignment horizontal="center" vertical="center"/>
    </xf>
    <xf numFmtId="3" fontId="14" fillId="7" borderId="3" applyAlignment="1" pivotButton="0" quotePrefix="0" xfId="0">
      <alignment horizontal="right" vertical="center"/>
    </xf>
    <xf numFmtId="164" fontId="14" fillId="7" borderId="0" applyAlignment="1" pivotButton="0" quotePrefix="0" xfId="0">
      <alignment horizontal="center" vertical="center"/>
    </xf>
    <xf numFmtId="0" fontId="8" fillId="7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 wrapText="1"/>
    </xf>
    <xf numFmtId="49" fontId="10" fillId="8" borderId="2" applyAlignment="1" pivotButton="0" quotePrefix="0" xfId="0">
      <alignment horizontal="left" vertical="center"/>
    </xf>
    <xf numFmtId="49" fontId="15" fillId="8" borderId="2" applyAlignment="1" pivotButton="0" quotePrefix="0" xfId="0">
      <alignment horizontal="left" vertical="center"/>
    </xf>
    <xf numFmtId="49" fontId="11" fillId="8" borderId="2" applyAlignment="1" pivotButton="0" quotePrefix="0" xfId="0">
      <alignment horizontal="left" vertical="center"/>
    </xf>
    <xf numFmtId="3" fontId="11" fillId="8" borderId="2" applyAlignment="1" pivotButton="0" quotePrefix="0" xfId="0">
      <alignment horizontal="right" vertical="center"/>
    </xf>
    <xf numFmtId="3" fontId="12" fillId="8" borderId="2" applyAlignment="1" pivotButton="0" quotePrefix="0" xfId="0">
      <alignment horizontal="right" vertical="center"/>
    </xf>
    <xf numFmtId="3" fontId="13" fillId="8" borderId="2" applyAlignment="1" pivotButton="0" quotePrefix="0" xfId="0">
      <alignment horizontal="right" vertical="center"/>
    </xf>
    <xf numFmtId="164" fontId="16" fillId="8" borderId="2" applyAlignment="1" pivotButton="0" quotePrefix="0" xfId="0">
      <alignment horizontal="center" vertical="center"/>
    </xf>
    <xf numFmtId="49" fontId="3" fillId="8" borderId="2" applyAlignment="1" pivotButton="0" quotePrefix="0" xfId="0">
      <alignment horizontal="left" vertical="center"/>
    </xf>
    <xf numFmtId="49" fontId="10" fillId="9" borderId="2" applyAlignment="1" pivotButton="0" quotePrefix="0" xfId="0">
      <alignment horizontal="left" vertical="center"/>
    </xf>
    <xf numFmtId="49" fontId="15" fillId="9" borderId="2" applyAlignment="1" pivotButton="0" quotePrefix="0" xfId="0">
      <alignment horizontal="left" vertical="center"/>
    </xf>
    <xf numFmtId="49" fontId="11" fillId="9" borderId="2" applyAlignment="1" pivotButton="0" quotePrefix="0" xfId="0">
      <alignment horizontal="left" vertical="center"/>
    </xf>
    <xf numFmtId="3" fontId="11" fillId="9" borderId="2" applyAlignment="1" pivotButton="0" quotePrefix="0" xfId="0">
      <alignment horizontal="right" vertical="center"/>
    </xf>
    <xf numFmtId="3" fontId="12" fillId="9" borderId="2" applyAlignment="1" pivotButton="0" quotePrefix="0" xfId="0">
      <alignment horizontal="right" vertical="center"/>
    </xf>
    <xf numFmtId="3" fontId="13" fillId="9" borderId="2" applyAlignment="1" pivotButton="0" quotePrefix="0" xfId="0">
      <alignment horizontal="right" vertical="center"/>
    </xf>
    <xf numFmtId="164" fontId="16" fillId="9" borderId="2" applyAlignment="1" pivotButton="0" quotePrefix="0" xfId="0">
      <alignment horizontal="center" vertical="center"/>
    </xf>
    <xf numFmtId="49" fontId="3" fillId="9" borderId="2" applyAlignment="1" pivotButton="0" quotePrefix="0" xfId="0">
      <alignment horizontal="left" vertical="center"/>
    </xf>
    <xf numFmtId="0" fontId="10" fillId="4" borderId="4" applyAlignment="1" pivotButton="0" quotePrefix="0" xfId="0">
      <alignment horizontal="center" vertical="center"/>
    </xf>
    <xf numFmtId="0" fontId="0" fillId="0" borderId="5" pivotButton="0" quotePrefix="0" xfId="0"/>
    <xf numFmtId="0" fontId="4" fillId="0" borderId="6" applyAlignment="1" pivotButton="0" quotePrefix="0" xfId="0">
      <alignment horizontal="center" vertical="center"/>
    </xf>
    <xf numFmtId="0" fontId="17" fillId="2" borderId="0" applyAlignment="1" pivotButton="0" quotePrefix="0" xfId="0">
      <alignment horizontal="left" vertical="center"/>
    </xf>
    <xf numFmtId="164" fontId="16" fillId="5" borderId="2" applyAlignment="1" pivotButton="0" quotePrefix="0" xfId="0">
      <alignment horizontal="center" vertical="center"/>
    </xf>
    <xf numFmtId="164" fontId="16" fillId="6" borderId="2" applyAlignment="1" pivotButton="0" quotePrefix="0" xfId="0">
      <alignment horizontal="center" vertical="center"/>
    </xf>
    <xf numFmtId="3" fontId="18" fillId="9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4" customWidth="1" min="3" max="3"/>
    <col width="14" customWidth="1" min="4" max="4"/>
    <col width="14" customWidth="1" min="5" max="5"/>
    <col width="10" customWidth="1" min="6" max="6"/>
    <col width="6" customWidth="1" min="7" max="7"/>
    <col width="12" customWidth="1" min="8" max="8"/>
    <col width="10" customWidth="1" min="9" max="9"/>
    <col width="16" customWidth="1" min="10" max="10"/>
  </cols>
  <sheetData>
    <row r="1" ht="14" customHeight="1">
      <c r="A1" s="1" t="inlineStr">
        <is>
          <t>NEXGEM CO., LTD.</t>
        </is>
      </c>
    </row>
    <row r="2" ht="36" customHeight="1">
      <c r="A2" s="2" t="inlineStr">
        <is>
          <t>외주처 매입매출 손익 보고서  —  2026.07</t>
        </is>
      </c>
    </row>
    <row r="3" ht="18" customHeight="1">
      <c r="A3" s="3" t="inlineStr">
        <is>
          <t>조이산업(주)  |  출력일: 2026년 08월 07일  |  기준기간: 2026년 7월 입고·출하</t>
        </is>
      </c>
    </row>
    <row r="4" ht="6" customHeight="1"/>
    <row r="5" ht="20" customHeight="1">
      <c r="A5" s="4" t="inlineStr">
        <is>
          <t>총 매입금액</t>
        </is>
      </c>
      <c r="C5" s="4" t="inlineStr">
        <is>
          <t>총 매출금액</t>
        </is>
      </c>
      <c r="E5" s="4" t="inlineStr">
        <is>
          <t>총 손익</t>
        </is>
      </c>
      <c r="G5" s="4" t="inlineStr">
        <is>
          <t>평균 마진율</t>
        </is>
      </c>
      <c r="I5" s="4" t="inlineStr">
        <is>
          <t>거래 외주처</t>
        </is>
      </c>
    </row>
    <row r="6" ht="24" customHeight="1">
      <c r="A6" s="5" t="inlineStr">
        <is>
          <t>₩284,577,420</t>
        </is>
      </c>
      <c r="C6" s="5" t="inlineStr">
        <is>
          <t>₩368,503,672</t>
        </is>
      </c>
      <c r="E6" s="6" t="inlineStr">
        <is>
          <t>₩83,926,252</t>
        </is>
      </c>
      <c r="G6" s="6" t="inlineStr">
        <is>
          <t>22.8%</t>
        </is>
      </c>
      <c r="I6" s="7" t="inlineStr">
        <is>
          <t>5개사</t>
        </is>
      </c>
    </row>
    <row r="7" ht="8" customHeight="1"/>
    <row r="8" ht="22" customHeight="1">
      <c r="A8" s="8" t="inlineStr">
        <is>
          <t>■  외주처별 손익 요약   (2026년 7월 입고·출하 기준)</t>
        </is>
      </c>
    </row>
    <row r="9" ht="20" customHeight="1">
      <c r="A9" s="9" t="inlineStr">
        <is>
          <t>순위</t>
        </is>
      </c>
      <c r="B9" s="9" t="inlineStr">
        <is>
          <t>외주처명</t>
        </is>
      </c>
      <c r="C9" s="9" t="inlineStr">
        <is>
          <t>매입금액(원)</t>
        </is>
      </c>
      <c r="D9" s="9" t="inlineStr">
        <is>
          <t>매출금액(원)</t>
        </is>
      </c>
      <c r="E9" s="9" t="inlineStr">
        <is>
          <t>손익(원)</t>
        </is>
      </c>
      <c r="F9" s="9" t="inlineStr">
        <is>
          <t>마진율</t>
        </is>
      </c>
      <c r="G9" s="9" t="inlineStr">
        <is>
          <t>품목수</t>
        </is>
      </c>
      <c r="H9" s="9" t="inlineStr">
        <is>
          <t>비고</t>
        </is>
      </c>
      <c r="I9" s="9" t="inlineStr"/>
      <c r="J9" s="9" t="inlineStr"/>
    </row>
    <row r="10" ht="17" customHeight="1">
      <c r="A10" s="10" t="inlineStr">
        <is>
          <t>1</t>
        </is>
      </c>
      <c r="B10" s="11" t="inlineStr">
        <is>
          <t>마이더스시스템</t>
        </is>
      </c>
      <c r="C10" s="12" t="n">
        <v>50770560</v>
      </c>
      <c r="D10" s="13" t="n">
        <v>100671330</v>
      </c>
      <c r="E10" s="14">
        <f>D10-C10</f>
        <v/>
      </c>
      <c r="F10" s="15">
        <f>IFERROR(E10/D10,"")</f>
        <v/>
      </c>
      <c r="G10" s="16" t="n">
        <v>41</v>
      </c>
      <c r="H10" s="17" t="inlineStr"/>
      <c r="I10" s="17" t="inlineStr"/>
      <c r="J10" s="17" t="inlineStr"/>
    </row>
    <row r="11" ht="17" customHeight="1">
      <c r="A11" s="18" t="inlineStr">
        <is>
          <t>2</t>
        </is>
      </c>
      <c r="B11" s="19" t="inlineStr">
        <is>
          <t>유한</t>
        </is>
      </c>
      <c r="C11" s="20" t="n">
        <v>90736960</v>
      </c>
      <c r="D11" s="21" t="n">
        <v>92995920</v>
      </c>
      <c r="E11" s="22">
        <f>D11-C11</f>
        <v/>
      </c>
      <c r="F11" s="23">
        <f>IFERROR(E11/D11,"")</f>
        <v/>
      </c>
      <c r="G11" s="24" t="n">
        <v>3</v>
      </c>
      <c r="H11" s="25" t="inlineStr"/>
      <c r="I11" s="25" t="inlineStr"/>
      <c r="J11" s="25" t="inlineStr"/>
    </row>
    <row r="12" ht="17" customHeight="1">
      <c r="A12" s="10" t="inlineStr">
        <is>
          <t>3</t>
        </is>
      </c>
      <c r="B12" s="11" t="inlineStr">
        <is>
          <t>상원인더스</t>
        </is>
      </c>
      <c r="C12" s="12" t="n">
        <v>47176000</v>
      </c>
      <c r="D12" s="13" t="n">
        <v>61989920</v>
      </c>
      <c r="E12" s="14">
        <f>D12-C12</f>
        <v/>
      </c>
      <c r="F12" s="15">
        <f>IFERROR(E12/D12,"")</f>
        <v/>
      </c>
      <c r="G12" s="16" t="n">
        <v>9</v>
      </c>
      <c r="H12" s="17" t="inlineStr"/>
      <c r="I12" s="17" t="inlineStr"/>
      <c r="J12" s="17" t="inlineStr"/>
    </row>
    <row r="13" ht="17" customHeight="1">
      <c r="A13" s="18" t="inlineStr">
        <is>
          <t>4</t>
        </is>
      </c>
      <c r="B13" s="19" t="inlineStr">
        <is>
          <t>성일플라스틱</t>
        </is>
      </c>
      <c r="C13" s="20" t="n">
        <v>57114000</v>
      </c>
      <c r="D13" s="21" t="n">
        <v>57447120</v>
      </c>
      <c r="E13" s="22">
        <f>D13-C13</f>
        <v/>
      </c>
      <c r="F13" s="23">
        <f>IFERROR(E13/D13,"")</f>
        <v/>
      </c>
      <c r="G13" s="24" t="n">
        <v>8</v>
      </c>
      <c r="H13" s="25" t="inlineStr"/>
      <c r="I13" s="25" t="inlineStr"/>
      <c r="J13" s="25" t="inlineStr"/>
    </row>
    <row r="14" ht="17" customHeight="1">
      <c r="A14" s="10" t="inlineStr">
        <is>
          <t>5</t>
        </is>
      </c>
      <c r="B14" s="11" t="inlineStr">
        <is>
          <t>금호하이테크</t>
        </is>
      </c>
      <c r="C14" s="12" t="n">
        <v>38779900</v>
      </c>
      <c r="D14" s="13" t="n">
        <v>55399382</v>
      </c>
      <c r="E14" s="14">
        <f>D14-C14</f>
        <v/>
      </c>
      <c r="F14" s="15">
        <f>IFERROR(E14/D14,"")</f>
        <v/>
      </c>
      <c r="G14" s="16" t="n">
        <v>28</v>
      </c>
      <c r="H14" s="17" t="inlineStr"/>
      <c r="I14" s="17" t="inlineStr"/>
      <c r="J14" s="17" t="inlineStr"/>
    </row>
    <row r="15" ht="20" customHeight="1">
      <c r="A15" s="26" t="inlineStr">
        <is>
          <t>합  계</t>
        </is>
      </c>
      <c r="C15" s="27">
        <f>SUM(C10:C14)</f>
        <v/>
      </c>
      <c r="D15" s="27">
        <f>SUM(D10:D14)</f>
        <v/>
      </c>
      <c r="E15" s="27">
        <f>SUM(E10:E14)</f>
        <v/>
      </c>
      <c r="F15" s="28">
        <f>IFERROR(E15/D15,"")</f>
        <v/>
      </c>
    </row>
    <row r="17" ht="20" customHeight="1">
      <c r="A17" s="29" t="inlineStr">
        <is>
          <t>■  품목별 세부 내역   (외주처 그룹 · 고객사 포함)</t>
        </is>
      </c>
    </row>
    <row r="18" ht="20" customHeight="1">
      <c r="A18" s="30" t="inlineStr">
        <is>
          <t>외주처명</t>
        </is>
      </c>
      <c r="B18" s="30" t="inlineStr">
        <is>
          <t>품번</t>
        </is>
      </c>
      <c r="C18" s="30" t="inlineStr">
        <is>
          <t>품명</t>
        </is>
      </c>
      <c r="D18" s="30" t="inlineStr">
        <is>
          <t>입고수량</t>
        </is>
      </c>
      <c r="E18" s="30" t="inlineStr">
        <is>
          <t>매입금액(원)</t>
        </is>
      </c>
      <c r="F18" s="30" t="inlineStr">
        <is>
          <t>출하수량</t>
        </is>
      </c>
      <c r="G18" s="30" t="inlineStr">
        <is>
          <t>매출금액(원)</t>
        </is>
      </c>
      <c r="H18" s="30" t="inlineStr">
        <is>
          <t>손익(원)</t>
        </is>
      </c>
      <c r="I18" s="30" t="inlineStr">
        <is>
          <t>마진율</t>
        </is>
      </c>
      <c r="J18" s="30" t="inlineStr">
        <is>
          <t>고객사</t>
        </is>
      </c>
    </row>
    <row r="19" ht="17" customHeight="1">
      <c r="A19" s="31" t="inlineStr">
        <is>
          <t>마이더스시스템</t>
        </is>
      </c>
      <c r="B19" s="32" t="inlineStr">
        <is>
          <t>GC1-AS-0063</t>
        </is>
      </c>
      <c r="C19" s="33" t="inlineStr">
        <is>
          <t>ADJ KNOB ASS"Y HGM100</t>
        </is>
      </c>
      <c r="D19" s="34" t="n">
        <v>102000</v>
      </c>
      <c r="E19" s="34" t="n">
        <v>11220000</v>
      </c>
      <c r="F19" s="34" t="n">
        <v>102000</v>
      </c>
      <c r="G19" s="35" t="n">
        <v>13260000</v>
      </c>
      <c r="H19" s="36">
        <f>G19-E19</f>
        <v/>
      </c>
      <c r="I19" s="37">
        <f>IFERROR(H19/G19,"")</f>
        <v/>
      </c>
      <c r="J19" s="32" t="inlineStr">
        <is>
          <t>HD현대일렉트릭</t>
        </is>
      </c>
    </row>
    <row r="20" ht="17" customHeight="1">
      <c r="A20" s="38" t="inlineStr"/>
      <c r="B20" s="32" t="inlineStr">
        <is>
          <t>GC3-AS-0066</t>
        </is>
      </c>
      <c r="C20" s="33" t="inlineStr">
        <is>
          <t>3P SPARE PART ASS"Y HGM250</t>
        </is>
      </c>
      <c r="D20" s="34" t="n">
        <v>14200</v>
      </c>
      <c r="E20" s="34" t="n">
        <v>1093400</v>
      </c>
      <c r="F20" s="34" t="n">
        <v>14200</v>
      </c>
      <c r="G20" s="35" t="n">
        <v>11956400</v>
      </c>
      <c r="H20" s="36">
        <f>G20-E20</f>
        <v/>
      </c>
      <c r="I20" s="37">
        <f>IFERROR(H20/G20,"")</f>
        <v/>
      </c>
      <c r="J20" s="32" t="inlineStr">
        <is>
          <t>HD현대일렉트릭</t>
        </is>
      </c>
    </row>
    <row r="21" ht="17" customHeight="1">
      <c r="A21" s="38" t="inlineStr"/>
      <c r="B21" s="32" t="inlineStr">
        <is>
          <t>GC3-AS-0067</t>
        </is>
      </c>
      <c r="C21" s="33" t="inlineStr">
        <is>
          <t>4P SPARE PART ASS"Y HGM250</t>
        </is>
      </c>
      <c r="D21" s="34" t="n">
        <v>8600</v>
      </c>
      <c r="E21" s="34" t="n">
        <v>662200</v>
      </c>
      <c r="F21" s="34" t="n">
        <v>8600</v>
      </c>
      <c r="G21" s="35" t="n">
        <v>10070600</v>
      </c>
      <c r="H21" s="36">
        <f>G21-E21</f>
        <v/>
      </c>
      <c r="I21" s="37">
        <f>IFERROR(H21/G21,"")</f>
        <v/>
      </c>
      <c r="J21" s="32" t="inlineStr">
        <is>
          <t>HD현대일렉트릭</t>
        </is>
      </c>
    </row>
    <row r="22" ht="17" customHeight="1">
      <c r="A22" s="38" t="inlineStr"/>
      <c r="B22" s="32" t="inlineStr">
        <is>
          <t>1111</t>
        </is>
      </c>
      <c r="C22" s="33" t="inlineStr">
        <is>
          <t>주사기고정대 소형</t>
        </is>
      </c>
      <c r="D22" s="34" t="n">
        <v>66000</v>
      </c>
      <c r="E22" s="34" t="n">
        <v>2640000</v>
      </c>
      <c r="F22" s="34" t="n">
        <v>150000</v>
      </c>
      <c r="G22" s="35" t="n">
        <v>8100000</v>
      </c>
      <c r="H22" s="36">
        <f>G22-E22</f>
        <v/>
      </c>
      <c r="I22" s="37">
        <f>IFERROR(H22/G22,"")</f>
        <v/>
      </c>
      <c r="J22" s="32" t="inlineStr">
        <is>
          <t>유니메드제약</t>
        </is>
      </c>
    </row>
    <row r="23" ht="17" customHeight="1">
      <c r="A23" s="38" t="inlineStr"/>
      <c r="B23" s="32" t="inlineStr">
        <is>
          <t>GC1-MO-0060</t>
        </is>
      </c>
      <c r="C23" s="33" t="inlineStr">
        <is>
          <t>GRID LEFT CAP</t>
        </is>
      </c>
      <c r="D23" s="34" t="n">
        <v>156000</v>
      </c>
      <c r="E23" s="34" t="n">
        <v>5616000</v>
      </c>
      <c r="F23" s="34" t="n">
        <v>156000</v>
      </c>
      <c r="G23" s="35" t="n">
        <v>6864000</v>
      </c>
      <c r="H23" s="36">
        <f>G23-E23</f>
        <v/>
      </c>
      <c r="I23" s="37">
        <f>IFERROR(H23/G23,"")</f>
        <v/>
      </c>
      <c r="J23" s="32" t="inlineStr">
        <is>
          <t>(주)대양</t>
        </is>
      </c>
    </row>
    <row r="24" ht="17" customHeight="1">
      <c r="A24" s="38" t="inlineStr"/>
      <c r="B24" s="32" t="inlineStr">
        <is>
          <t>GC1-MO-0061</t>
        </is>
      </c>
      <c r="C24" s="33" t="inlineStr">
        <is>
          <t>GRID RIGHT CAP</t>
        </is>
      </c>
      <c r="D24" s="34" t="n">
        <v>156000</v>
      </c>
      <c r="E24" s="34" t="n">
        <v>5616000</v>
      </c>
      <c r="F24" s="34" t="n">
        <v>156000</v>
      </c>
      <c r="G24" s="35" t="n">
        <v>6864000</v>
      </c>
      <c r="H24" s="36">
        <f>G24-E24</f>
        <v/>
      </c>
      <c r="I24" s="37">
        <f>IFERROR(H24/G24,"")</f>
        <v/>
      </c>
      <c r="J24" s="32" t="inlineStr">
        <is>
          <t>(주)대양</t>
        </is>
      </c>
    </row>
    <row r="25" ht="17" customHeight="1">
      <c r="A25" s="38" t="inlineStr"/>
      <c r="B25" s="32" t="inlineStr">
        <is>
          <t>A14-167-1</t>
        </is>
      </c>
      <c r="C25" s="33" t="inlineStr">
        <is>
          <t>FRONT COVER</t>
        </is>
      </c>
      <c r="D25" s="34" t="n">
        <v>27000</v>
      </c>
      <c r="E25" s="34" t="n">
        <v>3375000</v>
      </c>
      <c r="F25" s="34" t="n">
        <v>46500</v>
      </c>
      <c r="G25" s="35" t="n">
        <v>6510000</v>
      </c>
      <c r="H25" s="36">
        <f>G25-E25</f>
        <v/>
      </c>
      <c r="I25" s="37">
        <f>IFERROR(H25/G25,"")</f>
        <v/>
      </c>
      <c r="J25" s="32" t="inlineStr">
        <is>
          <t>MCM</t>
        </is>
      </c>
    </row>
    <row r="26" ht="17" customHeight="1">
      <c r="A26" s="38" t="inlineStr"/>
      <c r="B26" s="32" t="inlineStr">
        <is>
          <t>1112</t>
        </is>
      </c>
      <c r="C26" s="33" t="inlineStr">
        <is>
          <t>주사기고정대 대형</t>
        </is>
      </c>
      <c r="D26" s="34" t="n">
        <v>4000</v>
      </c>
      <c r="E26" s="34" t="n">
        <v>180000</v>
      </c>
      <c r="F26" s="34" t="n">
        <v>100000</v>
      </c>
      <c r="G26" s="35" t="n">
        <v>6200000</v>
      </c>
      <c r="H26" s="36">
        <f>G26-E26</f>
        <v/>
      </c>
      <c r="I26" s="37">
        <f>IFERROR(H26/G26,"")</f>
        <v/>
      </c>
      <c r="J26" s="32" t="inlineStr">
        <is>
          <t>유니메드제약</t>
        </is>
      </c>
    </row>
    <row r="27" ht="17" customHeight="1">
      <c r="A27" s="38" t="inlineStr"/>
      <c r="B27" s="32" t="inlineStr">
        <is>
          <t>1ME-11137</t>
        </is>
      </c>
      <c r="C27" s="33" t="inlineStr">
        <is>
          <t>MOLD BASE HM-S (ELCB)</t>
        </is>
      </c>
      <c r="D27" s="34" t="n">
        <v>7488</v>
      </c>
      <c r="E27" s="34" t="n">
        <v>4118400</v>
      </c>
      <c r="F27" s="34" t="n">
        <v>7488</v>
      </c>
      <c r="G27" s="35" t="n">
        <v>4717440</v>
      </c>
      <c r="H27" s="36">
        <f>G27-E27</f>
        <v/>
      </c>
      <c r="I27" s="37">
        <f>IFERROR(H27/G27,"")</f>
        <v/>
      </c>
      <c r="J27" s="32" t="inlineStr">
        <is>
          <t>큐비테크</t>
        </is>
      </c>
    </row>
    <row r="28" ht="17" customHeight="1">
      <c r="A28" s="38" t="inlineStr"/>
      <c r="B28" s="32" t="inlineStr">
        <is>
          <t>A14-166-2</t>
        </is>
      </c>
      <c r="C28" s="33" t="inlineStr">
        <is>
          <t>BACK BASE BKT</t>
        </is>
      </c>
      <c r="D28" s="34" t="n">
        <v>9800</v>
      </c>
      <c r="E28" s="34" t="n">
        <v>4214000</v>
      </c>
      <c r="F28" s="34" t="n">
        <v>9800</v>
      </c>
      <c r="G28" s="35" t="n">
        <v>4547200</v>
      </c>
      <c r="H28" s="36">
        <f>G28-E28</f>
        <v/>
      </c>
      <c r="I28" s="37">
        <f>IFERROR(H28/G28,"")</f>
        <v/>
      </c>
      <c r="J28" s="32" t="inlineStr">
        <is>
          <t>MCM</t>
        </is>
      </c>
    </row>
    <row r="29" ht="17" customHeight="1">
      <c r="A29" s="38" t="inlineStr"/>
      <c r="B29" s="32" t="inlineStr">
        <is>
          <t>GP1-AS-0001</t>
        </is>
      </c>
      <c r="C29" s="33" t="inlineStr">
        <is>
          <t>HGP160 3P SPARE PART ASS"Y</t>
        </is>
      </c>
      <c r="D29" s="34" t="n">
        <v>2100</v>
      </c>
      <c r="E29" s="34" t="n">
        <v>161700</v>
      </c>
      <c r="F29" s="34" t="n">
        <v>2100</v>
      </c>
      <c r="G29" s="35" t="n">
        <v>2530500</v>
      </c>
      <c r="H29" s="36">
        <f>G29-E29</f>
        <v/>
      </c>
      <c r="I29" s="37">
        <f>IFERROR(H29/G29,"")</f>
        <v/>
      </c>
      <c r="J29" s="32" t="inlineStr">
        <is>
          <t>HD현대일렉트릭</t>
        </is>
      </c>
    </row>
    <row r="30" ht="17" customHeight="1">
      <c r="A30" s="38" t="inlineStr"/>
      <c r="B30" s="32" t="inlineStr">
        <is>
          <t>55211176301</t>
        </is>
      </c>
      <c r="C30" s="33" t="inlineStr">
        <is>
          <t>HANDLE,V EHU,UTS1200  grey</t>
        </is>
      </c>
      <c r="D30" s="34" t="n">
        <v>627</v>
      </c>
      <c r="E30" s="34" t="n">
        <v>2069100</v>
      </c>
      <c r="F30" s="34" t="n">
        <v>627</v>
      </c>
      <c r="G30" s="35" t="n">
        <v>2390124</v>
      </c>
      <c r="H30" s="36">
        <f>G30-E30</f>
        <v/>
      </c>
      <c r="I30" s="37">
        <f>IFERROR(H30/G30,"")</f>
        <v/>
      </c>
      <c r="J30" s="32" t="inlineStr">
        <is>
          <t>성신산전, 하이베로</t>
        </is>
      </c>
    </row>
    <row r="31" ht="17" customHeight="1">
      <c r="A31" s="38" t="inlineStr"/>
      <c r="B31" s="32" t="inlineStr">
        <is>
          <t>3AT-03462</t>
        </is>
      </c>
      <c r="C31" s="33" t="inlineStr">
        <is>
          <t>REAR COVER</t>
        </is>
      </c>
      <c r="D31" s="34" t="n">
        <v>1280</v>
      </c>
      <c r="E31" s="34" t="n">
        <v>1792000</v>
      </c>
      <c r="F31" s="34" t="n">
        <v>1280</v>
      </c>
      <c r="G31" s="35" t="n">
        <v>2291200</v>
      </c>
      <c r="H31" s="36">
        <f>G31-E31</f>
        <v/>
      </c>
      <c r="I31" s="37">
        <f>IFERROR(H31/G31,"")</f>
        <v/>
      </c>
      <c r="J31" s="32" t="inlineStr">
        <is>
          <t>케이엠데이타</t>
        </is>
      </c>
    </row>
    <row r="32" ht="17" customHeight="1">
      <c r="A32" s="38" t="inlineStr"/>
      <c r="B32" s="32" t="inlineStr">
        <is>
          <t>GTP-MO-0022</t>
        </is>
      </c>
      <c r="C32" s="33" t="inlineStr">
        <is>
          <t>CT CASE</t>
        </is>
      </c>
      <c r="D32" s="34" t="n">
        <v>3123</v>
      </c>
      <c r="E32" s="34" t="n">
        <v>1561500</v>
      </c>
      <c r="F32" s="34" t="n">
        <v>3123</v>
      </c>
      <c r="G32" s="35" t="n">
        <v>1786356</v>
      </c>
      <c r="H32" s="36">
        <f>G32-E32</f>
        <v/>
      </c>
      <c r="I32" s="37">
        <f>IFERROR(H32/G32,"")</f>
        <v/>
      </c>
      <c r="J32" s="32" t="inlineStr">
        <is>
          <t>트윈테크</t>
        </is>
      </c>
    </row>
    <row r="33" ht="17" customHeight="1">
      <c r="A33" s="38" t="inlineStr"/>
      <c r="B33" s="32" t="inlineStr">
        <is>
          <t>GP2-AS-0058</t>
        </is>
      </c>
      <c r="C33" s="33" t="inlineStr">
        <is>
          <t>HGP250 3P SPARE PART ASS"Y HGP250-G</t>
        </is>
      </c>
      <c r="D33" s="34" t="n">
        <v>1300</v>
      </c>
      <c r="E33" s="34" t="n">
        <v>100100</v>
      </c>
      <c r="F33" s="34" t="n">
        <v>1300</v>
      </c>
      <c r="G33" s="35" t="n">
        <v>1747200</v>
      </c>
      <c r="H33" s="36">
        <f>G33-E33</f>
        <v/>
      </c>
      <c r="I33" s="37">
        <f>IFERROR(H33/G33,"")</f>
        <v/>
      </c>
      <c r="J33" s="32" t="inlineStr">
        <is>
          <t>HD현대일렉트릭</t>
        </is>
      </c>
    </row>
    <row r="34" ht="17" customHeight="1">
      <c r="A34" s="38" t="inlineStr"/>
      <c r="B34" s="32" t="inlineStr">
        <is>
          <t>3AT-04360</t>
        </is>
      </c>
      <c r="C34" s="33" t="inlineStr">
        <is>
          <t>RCTU UPPER CASE</t>
        </is>
      </c>
      <c r="D34" s="34" t="n">
        <v>1210</v>
      </c>
      <c r="E34" s="34" t="n">
        <v>1149500</v>
      </c>
      <c r="F34" s="34" t="n">
        <v>1210</v>
      </c>
      <c r="G34" s="35" t="n">
        <v>1391500</v>
      </c>
      <c r="H34" s="36">
        <f>G34-E34</f>
        <v/>
      </c>
      <c r="I34" s="37">
        <f>IFERROR(H34/G34,"")</f>
        <v/>
      </c>
      <c r="J34" s="32" t="inlineStr">
        <is>
          <t>케이엠데이타</t>
        </is>
      </c>
    </row>
    <row r="35" ht="17" customHeight="1">
      <c r="A35" s="38" t="inlineStr"/>
      <c r="B35" s="32" t="inlineStr">
        <is>
          <t>GC4-AS-0042</t>
        </is>
      </c>
      <c r="C35" s="33" t="inlineStr">
        <is>
          <t>ADJ KNOB ASS"Y HGM400</t>
        </is>
      </c>
      <c r="D35" s="34" t="n">
        <v>1500</v>
      </c>
      <c r="E35" s="34" t="n">
        <v>360000</v>
      </c>
      <c r="F35" s="34" t="n">
        <v>3600</v>
      </c>
      <c r="G35" s="35" t="n">
        <v>1256400</v>
      </c>
      <c r="H35" s="36">
        <f>G35-E35</f>
        <v/>
      </c>
      <c r="I35" s="37">
        <f>IFERROR(H35/G35,"")</f>
        <v/>
      </c>
      <c r="J35" s="32" t="inlineStr">
        <is>
          <t>HD현대일렉트릭</t>
        </is>
      </c>
    </row>
    <row r="36" ht="17" customHeight="1">
      <c r="A36" s="38" t="inlineStr"/>
      <c r="B36" s="32" t="inlineStr">
        <is>
          <t>HG-001</t>
        </is>
      </c>
      <c r="C36" s="33" t="inlineStr">
        <is>
          <t>HG BUTTON OFF(RED)</t>
        </is>
      </c>
      <c r="D36" s="34" t="n">
        <v>3550</v>
      </c>
      <c r="E36" s="34" t="n">
        <v>248500</v>
      </c>
      <c r="F36" s="34" t="n">
        <v>3550</v>
      </c>
      <c r="G36" s="35" t="n">
        <v>745500</v>
      </c>
      <c r="H36" s="36">
        <f>G36-E36</f>
        <v/>
      </c>
      <c r="I36" s="37">
        <f>IFERROR(H36/G36,"")</f>
        <v/>
      </c>
      <c r="J36" s="32" t="inlineStr">
        <is>
          <t>동우이엠피</t>
        </is>
      </c>
    </row>
    <row r="37" ht="17" customHeight="1">
      <c r="A37" s="38" t="inlineStr"/>
      <c r="B37" s="32" t="inlineStr">
        <is>
          <t>4AT-06965</t>
        </is>
      </c>
      <c r="C37" s="33" t="inlineStr">
        <is>
          <t>LOCK LEVER</t>
        </is>
      </c>
      <c r="D37" s="34" t="n">
        <v>1000</v>
      </c>
      <c r="E37" s="34" t="n">
        <v>120000</v>
      </c>
      <c r="F37" s="34" t="n">
        <v>6000</v>
      </c>
      <c r="G37" s="35" t="n">
        <v>720000</v>
      </c>
      <c r="H37" s="36">
        <f>G37-E37</f>
        <v/>
      </c>
      <c r="I37" s="37">
        <f>IFERROR(H37/G37,"")</f>
        <v/>
      </c>
      <c r="J37" s="32" t="inlineStr">
        <is>
          <t>케이엠데이타</t>
        </is>
      </c>
    </row>
    <row r="38" ht="17" customHeight="1">
      <c r="A38" s="38" t="inlineStr"/>
      <c r="B38" s="32" t="inlineStr">
        <is>
          <t>HG-002</t>
        </is>
      </c>
      <c r="C38" s="33" t="inlineStr">
        <is>
          <t>HG BUTTON ON(GREEN)</t>
        </is>
      </c>
      <c r="D38" s="34" t="n">
        <v>3124</v>
      </c>
      <c r="E38" s="34" t="n">
        <v>218680</v>
      </c>
      <c r="F38" s="34" t="n">
        <v>3124</v>
      </c>
      <c r="G38" s="35" t="n">
        <v>656040</v>
      </c>
      <c r="H38" s="36">
        <f>G38-E38</f>
        <v/>
      </c>
      <c r="I38" s="37">
        <f>IFERROR(H38/G38,"")</f>
        <v/>
      </c>
      <c r="J38" s="32" t="inlineStr">
        <is>
          <t>동우이엠피</t>
        </is>
      </c>
    </row>
    <row r="39" ht="17" customHeight="1">
      <c r="A39" s="38" t="inlineStr"/>
      <c r="B39" s="32" t="inlineStr">
        <is>
          <t>GU1-AS-0003</t>
        </is>
      </c>
      <c r="C39" s="33" t="inlineStr">
        <is>
          <t>PRINTED HANDLE ASS"Y</t>
        </is>
      </c>
      <c r="D39" s="34" t="n">
        <v>2320</v>
      </c>
      <c r="E39" s="34" t="n">
        <v>278400</v>
      </c>
      <c r="F39" s="34" t="n">
        <v>2320</v>
      </c>
      <c r="G39" s="35" t="n">
        <v>647280</v>
      </c>
      <c r="H39" s="36">
        <f>G39-E39</f>
        <v/>
      </c>
      <c r="I39" s="37">
        <f>IFERROR(H39/G39,"")</f>
        <v/>
      </c>
      <c r="J39" s="32" t="inlineStr">
        <is>
          <t>승림전자</t>
        </is>
      </c>
    </row>
    <row r="40" ht="17" customHeight="1">
      <c r="A40" s="38" t="inlineStr"/>
      <c r="B40" s="32" t="inlineStr">
        <is>
          <t>GP3-MO-6030</t>
        </is>
      </c>
      <c r="C40" s="33" t="inlineStr">
        <is>
          <t>PT SHOOTER BASE</t>
        </is>
      </c>
      <c r="D40" s="34" t="n">
        <v>3000</v>
      </c>
      <c r="E40" s="34" t="n">
        <v>540000</v>
      </c>
      <c r="F40" s="34" t="n">
        <v>3000</v>
      </c>
      <c r="G40" s="35" t="n">
        <v>630000</v>
      </c>
      <c r="H40" s="36">
        <f>G40-E40</f>
        <v/>
      </c>
      <c r="I40" s="37">
        <f>IFERROR(H40/G40,"")</f>
        <v/>
      </c>
      <c r="J40" s="32" t="inlineStr">
        <is>
          <t>승림전자</t>
        </is>
      </c>
    </row>
    <row r="41" ht="17" customHeight="1">
      <c r="A41" s="38" t="inlineStr"/>
      <c r="B41" s="32" t="inlineStr">
        <is>
          <t>A14-168-1</t>
        </is>
      </c>
      <c r="C41" s="33" t="inlineStr">
        <is>
          <t>BACK BASE BKT(2STAGE)</t>
        </is>
      </c>
      <c r="D41" s="34" t="n">
        <v>1650</v>
      </c>
      <c r="E41" s="34" t="n">
        <v>577500</v>
      </c>
      <c r="F41" s="34" t="n">
        <v>1650</v>
      </c>
      <c r="G41" s="35" t="n">
        <v>610500</v>
      </c>
      <c r="H41" s="36">
        <f>G41-E41</f>
        <v/>
      </c>
      <c r="I41" s="37">
        <f>IFERROR(H41/G41,"")</f>
        <v/>
      </c>
      <c r="J41" s="32" t="inlineStr">
        <is>
          <t>MCM</t>
        </is>
      </c>
    </row>
    <row r="42" ht="17" customHeight="1">
      <c r="A42" s="38" t="inlineStr"/>
      <c r="B42" s="32" t="inlineStr">
        <is>
          <t>GP3-MO-6031</t>
        </is>
      </c>
      <c r="C42" s="33" t="inlineStr">
        <is>
          <t>PT SHOOTER COVER</t>
        </is>
      </c>
      <c r="D42" s="34" t="n">
        <v>3000</v>
      </c>
      <c r="E42" s="34" t="n">
        <v>420000</v>
      </c>
      <c r="F42" s="34" t="n">
        <v>3000</v>
      </c>
      <c r="G42" s="35" t="n">
        <v>480000</v>
      </c>
      <c r="H42" s="36">
        <f>G42-E42</f>
        <v/>
      </c>
      <c r="I42" s="37">
        <f>IFERROR(H42/G42,"")</f>
        <v/>
      </c>
      <c r="J42" s="32" t="inlineStr">
        <is>
          <t>승림전자</t>
        </is>
      </c>
    </row>
    <row r="43" ht="17" customHeight="1">
      <c r="A43" s="38" t="inlineStr"/>
      <c r="B43" s="32" t="inlineStr">
        <is>
          <t>GU2-MO-0007</t>
        </is>
      </c>
      <c r="C43" s="33" t="inlineStr">
        <is>
          <t>250A TERMINAL BASE</t>
        </is>
      </c>
      <c r="D43" s="34" t="n">
        <v>2500</v>
      </c>
      <c r="E43" s="34" t="n">
        <v>325000</v>
      </c>
      <c r="F43" s="34" t="n">
        <v>2500</v>
      </c>
      <c r="G43" s="35" t="n">
        <v>387500</v>
      </c>
      <c r="H43" s="36">
        <f>G43-E43</f>
        <v/>
      </c>
      <c r="I43" s="37">
        <f>IFERROR(H43/G43,"")</f>
        <v/>
      </c>
      <c r="J43" s="32" t="inlineStr">
        <is>
          <t>승림전자</t>
        </is>
      </c>
    </row>
    <row r="44" ht="17" customHeight="1">
      <c r="A44" s="38" t="inlineStr"/>
      <c r="B44" s="32" t="inlineStr">
        <is>
          <t>GTP-MO-0026</t>
        </is>
      </c>
      <c r="C44" s="33" t="inlineStr">
        <is>
          <t>CT CASE COVER</t>
        </is>
      </c>
      <c r="D44" s="34" t="n">
        <v>1230</v>
      </c>
      <c r="E44" s="34" t="n">
        <v>307500</v>
      </c>
      <c r="F44" s="34" t="n">
        <v>1230</v>
      </c>
      <c r="G44" s="35" t="n">
        <v>378840</v>
      </c>
      <c r="H44" s="36">
        <f>G44-E44</f>
        <v/>
      </c>
      <c r="I44" s="37">
        <f>IFERROR(H44/G44,"")</f>
        <v/>
      </c>
      <c r="J44" s="32" t="inlineStr">
        <is>
          <t>트윈테크</t>
        </is>
      </c>
    </row>
    <row r="45" ht="17" customHeight="1">
      <c r="A45" s="38" t="inlineStr"/>
      <c r="B45" s="32" t="inlineStr">
        <is>
          <t>GU2-MO-0008</t>
        </is>
      </c>
      <c r="C45" s="33" t="inlineStr">
        <is>
          <t>150A TERMINAL BASE</t>
        </is>
      </c>
      <c r="D45" s="34" t="n">
        <v>1230</v>
      </c>
      <c r="E45" s="34" t="n">
        <v>147600</v>
      </c>
      <c r="F45" s="34" t="n">
        <v>2500</v>
      </c>
      <c r="G45" s="35" t="n">
        <v>370000</v>
      </c>
      <c r="H45" s="36">
        <f>G45-E45</f>
        <v/>
      </c>
      <c r="I45" s="37">
        <f>IFERROR(H45/G45,"")</f>
        <v/>
      </c>
      <c r="J45" s="32" t="inlineStr">
        <is>
          <t>승림전자</t>
        </is>
      </c>
    </row>
    <row r="46" ht="17" customHeight="1">
      <c r="A46" s="38" t="inlineStr"/>
      <c r="B46" s="32" t="inlineStr">
        <is>
          <t>GP2-AS-0059</t>
        </is>
      </c>
      <c r="C46" s="33" t="inlineStr">
        <is>
          <t>HGP250 4P SPARE PART ASS"Y HGP250-G</t>
        </is>
      </c>
      <c r="D46" s="34" t="n">
        <v>200</v>
      </c>
      <c r="E46" s="34" t="n">
        <v>15400</v>
      </c>
      <c r="F46" s="34" t="n">
        <v>200</v>
      </c>
      <c r="G46" s="35" t="n">
        <v>356800</v>
      </c>
      <c r="H46" s="36">
        <f>G46-E46</f>
        <v/>
      </c>
      <c r="I46" s="37">
        <f>IFERROR(H46/G46,"")</f>
        <v/>
      </c>
      <c r="J46" s="32" t="inlineStr">
        <is>
          <t>HD현대일렉트릭</t>
        </is>
      </c>
    </row>
    <row r="47" ht="17" customHeight="1">
      <c r="A47" s="38" t="inlineStr"/>
      <c r="B47" s="32" t="inlineStr">
        <is>
          <t>3AT-04362</t>
        </is>
      </c>
      <c r="C47" s="33" t="inlineStr">
        <is>
          <t>RCTU CASE COVER</t>
        </is>
      </c>
      <c r="D47" s="34" t="n">
        <v>1176</v>
      </c>
      <c r="E47" s="34" t="n">
        <v>270480</v>
      </c>
      <c r="F47" s="34" t="n">
        <v>1176</v>
      </c>
      <c r="G47" s="35" t="n">
        <v>352800</v>
      </c>
      <c r="H47" s="36">
        <f>G47-E47</f>
        <v/>
      </c>
      <c r="I47" s="37">
        <f>IFERROR(H47/G47,"")</f>
        <v/>
      </c>
      <c r="J47" s="32" t="inlineStr">
        <is>
          <t>케이엠데이타</t>
        </is>
      </c>
    </row>
    <row r="48" ht="17" customHeight="1">
      <c r="A48" s="38" t="inlineStr"/>
      <c r="B48" s="32" t="inlineStr">
        <is>
          <t>4AT-06513</t>
        </is>
      </c>
      <c r="C48" s="33" t="inlineStr">
        <is>
          <t>LOW CAP</t>
        </is>
      </c>
      <c r="D48" s="34" t="n">
        <v>2450</v>
      </c>
      <c r="E48" s="34" t="n">
        <v>208250</v>
      </c>
      <c r="F48" s="34" t="n">
        <v>2450</v>
      </c>
      <c r="G48" s="35" t="n">
        <v>269500</v>
      </c>
      <c r="H48" s="36">
        <f>G48-E48</f>
        <v/>
      </c>
      <c r="I48" s="37">
        <f>IFERROR(H48/G48,"")</f>
        <v/>
      </c>
      <c r="J48" s="32" t="inlineStr">
        <is>
          <t>케이엠데이타</t>
        </is>
      </c>
    </row>
    <row r="49" ht="17" customHeight="1">
      <c r="A49" s="38" t="inlineStr"/>
      <c r="B49" s="32" t="inlineStr">
        <is>
          <t>4AT-06998</t>
        </is>
      </c>
      <c r="C49" s="33" t="inlineStr">
        <is>
          <t>OPERTING ROD</t>
        </is>
      </c>
      <c r="D49" s="34" t="n">
        <v>1500</v>
      </c>
      <c r="E49" s="34" t="n">
        <v>180000</v>
      </c>
      <c r="F49" s="34" t="n">
        <v>1500</v>
      </c>
      <c r="G49" s="35" t="n">
        <v>240000</v>
      </c>
      <c r="H49" s="36">
        <f>G49-E49</f>
        <v/>
      </c>
      <c r="I49" s="37">
        <f>IFERROR(H49/G49,"")</f>
        <v/>
      </c>
      <c r="J49" s="32" t="inlineStr">
        <is>
          <t>케이엠데이타</t>
        </is>
      </c>
    </row>
    <row r="50" ht="17" customHeight="1">
      <c r="A50" s="38" t="inlineStr"/>
      <c r="B50" s="32" t="inlineStr">
        <is>
          <t>GP3-MO-0035</t>
        </is>
      </c>
      <c r="C50" s="33" t="inlineStr">
        <is>
          <t>MAIN ALT LEVER</t>
        </is>
      </c>
      <c r="D50" s="34" t="n">
        <v>2000</v>
      </c>
      <c r="E50" s="34" t="n">
        <v>160000</v>
      </c>
      <c r="F50" s="34" t="n">
        <v>2000</v>
      </c>
      <c r="G50" s="35" t="n">
        <v>218000</v>
      </c>
      <c r="H50" s="36">
        <f>G50-E50</f>
        <v/>
      </c>
      <c r="I50" s="37">
        <f>IFERROR(H50/G50,"")</f>
        <v/>
      </c>
      <c r="J50" s="32" t="inlineStr">
        <is>
          <t>승림전자</t>
        </is>
      </c>
    </row>
    <row r="51" ht="17" customHeight="1">
      <c r="A51" s="38" t="inlineStr"/>
      <c r="B51" s="32" t="inlineStr">
        <is>
          <t>GU1-MO-0022</t>
        </is>
      </c>
      <c r="C51" s="33" t="inlineStr">
        <is>
          <t>BIEMETAL CAP</t>
        </is>
      </c>
      <c r="D51" s="34" t="n">
        <v>3000</v>
      </c>
      <c r="E51" s="34" t="n">
        <v>144000</v>
      </c>
      <c r="F51" s="34" t="n">
        <v>3000</v>
      </c>
      <c r="G51" s="35" t="n">
        <v>168000</v>
      </c>
      <c r="H51" s="36">
        <f>G51-E51</f>
        <v/>
      </c>
      <c r="I51" s="37">
        <f>IFERROR(H51/G51,"")</f>
        <v/>
      </c>
      <c r="J51" s="32" t="inlineStr">
        <is>
          <t>승림전자</t>
        </is>
      </c>
    </row>
    <row r="52" ht="17" customHeight="1">
      <c r="A52" s="38" t="inlineStr"/>
      <c r="B52" s="32" t="inlineStr">
        <is>
          <t>GU1-MO-0052</t>
        </is>
      </c>
      <c r="C52" s="33" t="inlineStr">
        <is>
          <t>INSULATION_BARRIER</t>
        </is>
      </c>
      <c r="D52" s="34" t="n">
        <v>1500</v>
      </c>
      <c r="E52" s="34" t="n">
        <v>135000</v>
      </c>
      <c r="F52" s="34" t="n">
        <v>1500</v>
      </c>
      <c r="G52" s="35" t="n">
        <v>165000</v>
      </c>
      <c r="H52" s="36">
        <f>G52-E52</f>
        <v/>
      </c>
      <c r="I52" s="37">
        <f>IFERROR(H52/G52,"")</f>
        <v/>
      </c>
      <c r="J52" s="32" t="inlineStr">
        <is>
          <t>HD현대일렉트릭</t>
        </is>
      </c>
    </row>
    <row r="53" ht="17" customHeight="1">
      <c r="A53" s="38" t="inlineStr"/>
      <c r="B53" s="32" t="inlineStr">
        <is>
          <t>58113466402</t>
        </is>
      </c>
      <c r="C53" s="33" t="inlineStr">
        <is>
          <t>PIPE OPERATING LEFT</t>
        </is>
      </c>
      <c r="D53" s="34" t="n">
        <v>500</v>
      </c>
      <c r="E53" s="34" t="n">
        <v>125000</v>
      </c>
      <c r="F53" s="34" t="n">
        <v>500</v>
      </c>
      <c r="G53" s="35" t="n">
        <v>160000</v>
      </c>
      <c r="H53" s="36">
        <f>G53-E53</f>
        <v/>
      </c>
      <c r="I53" s="37">
        <f>IFERROR(H53/G53,"")</f>
        <v/>
      </c>
      <c r="J53" s="32" t="inlineStr">
        <is>
          <t>성신산전</t>
        </is>
      </c>
    </row>
    <row r="54" ht="17" customHeight="1">
      <c r="A54" s="38" t="inlineStr"/>
      <c r="B54" s="32" t="inlineStr">
        <is>
          <t>58113466403</t>
        </is>
      </c>
      <c r="C54" s="33" t="inlineStr">
        <is>
          <t>PIPE OPERATING RIGHT</t>
        </is>
      </c>
      <c r="D54" s="34" t="n">
        <v>500</v>
      </c>
      <c r="E54" s="34" t="n">
        <v>125000</v>
      </c>
      <c r="F54" s="34" t="n">
        <v>500</v>
      </c>
      <c r="G54" s="35" t="n">
        <v>160000</v>
      </c>
      <c r="H54" s="36">
        <f>G54-E54</f>
        <v/>
      </c>
      <c r="I54" s="37">
        <f>IFERROR(H54/G54,"")</f>
        <v/>
      </c>
      <c r="J54" s="32" t="inlineStr">
        <is>
          <t>성신산전</t>
        </is>
      </c>
    </row>
    <row r="55" ht="17" customHeight="1">
      <c r="A55" s="38" t="inlineStr"/>
      <c r="B55" s="32" t="inlineStr">
        <is>
          <t>GU1-MO-0021</t>
        </is>
      </c>
      <c r="C55" s="33" t="inlineStr">
        <is>
          <t>SHOOTER</t>
        </is>
      </c>
      <c r="D55" s="34" t="n">
        <v>2000</v>
      </c>
      <c r="E55" s="34" t="n">
        <v>110000</v>
      </c>
      <c r="F55" s="34" t="n">
        <v>2000</v>
      </c>
      <c r="G55" s="35" t="n">
        <v>160000</v>
      </c>
      <c r="H55" s="36">
        <f>G55-E55</f>
        <v/>
      </c>
      <c r="I55" s="37">
        <f>IFERROR(H55/G55,"")</f>
        <v/>
      </c>
      <c r="J55" s="32" t="inlineStr">
        <is>
          <t>승림전자</t>
        </is>
      </c>
    </row>
    <row r="56" ht="17" customHeight="1">
      <c r="A56" s="38" t="inlineStr"/>
      <c r="B56" s="32" t="inlineStr">
        <is>
          <t>GP3-MO-0011</t>
        </is>
      </c>
      <c r="C56" s="33" t="inlineStr">
        <is>
          <t>MAIN AUX LEVER</t>
        </is>
      </c>
      <c r="D56" s="34" t="n">
        <v>900</v>
      </c>
      <c r="E56" s="34" t="n">
        <v>76500</v>
      </c>
      <c r="F56" s="34" t="n">
        <v>900</v>
      </c>
      <c r="G56" s="35" t="n">
        <v>97200</v>
      </c>
      <c r="H56" s="36">
        <f>G56-E56</f>
        <v/>
      </c>
      <c r="I56" s="37">
        <f>IFERROR(H56/G56,"")</f>
        <v/>
      </c>
      <c r="J56" s="32" t="inlineStr">
        <is>
          <t>승림전자</t>
        </is>
      </c>
    </row>
    <row r="57" ht="17" customHeight="1">
      <c r="A57" s="38" t="inlineStr"/>
      <c r="B57" s="32" t="inlineStr">
        <is>
          <t>GP1-AS-0002</t>
        </is>
      </c>
      <c r="C57" s="33" t="inlineStr">
        <is>
          <t>HGP160 4P SPARE PART ASS"Y</t>
        </is>
      </c>
      <c r="D57" s="34" t="n">
        <v>50</v>
      </c>
      <c r="E57" s="34" t="n">
        <v>3850</v>
      </c>
      <c r="F57" s="34" t="n">
        <v>50</v>
      </c>
      <c r="G57" s="35" t="n">
        <v>85450</v>
      </c>
      <c r="H57" s="36">
        <f>G57-E57</f>
        <v/>
      </c>
      <c r="I57" s="37">
        <f>IFERROR(H57/G57,"")</f>
        <v/>
      </c>
      <c r="J57" s="32" t="inlineStr">
        <is>
          <t>HD현대일렉트릭</t>
        </is>
      </c>
    </row>
    <row r="58" ht="17" customHeight="1">
      <c r="A58" s="38" t="inlineStr"/>
      <c r="B58" s="32" t="inlineStr">
        <is>
          <t>GP3-MO-6029</t>
        </is>
      </c>
      <c r="C58" s="33" t="inlineStr">
        <is>
          <t>ETU PT RIGHT SHOOTER</t>
        </is>
      </c>
      <c r="D58" s="34" t="n">
        <v>500</v>
      </c>
      <c r="E58" s="34" t="n">
        <v>60000</v>
      </c>
      <c r="F58" s="34" t="n">
        <v>500</v>
      </c>
      <c r="G58" s="35" t="n">
        <v>70000</v>
      </c>
      <c r="H58" s="36">
        <f>G58-E58</f>
        <v/>
      </c>
      <c r="I58" s="37">
        <f>IFERROR(H58/G58,"")</f>
        <v/>
      </c>
      <c r="J58" s="32" t="inlineStr">
        <is>
          <t>승림전자</t>
        </is>
      </c>
    </row>
    <row r="59" ht="17" customHeight="1">
      <c r="A59" s="38" t="inlineStr"/>
      <c r="B59" s="32" t="inlineStr">
        <is>
          <t>55613466401</t>
        </is>
      </c>
      <c r="C59" s="33" t="inlineStr">
        <is>
          <t>HOLDER CELL S/W</t>
        </is>
      </c>
      <c r="D59" s="34" t="n">
        <v>300</v>
      </c>
      <c r="E59" s="34" t="n">
        <v>45000</v>
      </c>
      <c r="F59" s="34" t="n">
        <v>300</v>
      </c>
      <c r="G59" s="35" t="n">
        <v>60000</v>
      </c>
      <c r="H59" s="36">
        <f>G59-E59</f>
        <v/>
      </c>
      <c r="I59" s="37">
        <f>IFERROR(H59/G59,"")</f>
        <v/>
      </c>
      <c r="J59" s="32" t="inlineStr">
        <is>
          <t>성신산전</t>
        </is>
      </c>
    </row>
    <row r="60" ht="17" customHeight="1">
      <c r="A60" s="39" t="inlineStr">
        <is>
          <t>유한</t>
        </is>
      </c>
      <c r="B60" s="40" t="inlineStr">
        <is>
          <t>IDC-UPS</t>
        </is>
      </c>
      <c r="C60" s="41" t="inlineStr">
        <is>
          <t>THERMAL BARRIER</t>
        </is>
      </c>
      <c r="D60" s="42" t="n">
        <v>44400</v>
      </c>
      <c r="E60" s="42" t="n">
        <v>57720000</v>
      </c>
      <c r="F60" s="42" t="n">
        <v>44400</v>
      </c>
      <c r="G60" s="43" t="n">
        <v>63714000</v>
      </c>
      <c r="H60" s="44">
        <f>G60-E60</f>
        <v/>
      </c>
      <c r="I60" s="45">
        <f>IFERROR(H60/G60,"")</f>
        <v/>
      </c>
      <c r="J60" s="40" t="inlineStr">
        <is>
          <t>나라엠텍</t>
        </is>
      </c>
    </row>
    <row r="61" ht="17" customHeight="1">
      <c r="A61" s="46" t="inlineStr"/>
      <c r="B61" s="40" t="inlineStr">
        <is>
          <t>A11-614-0</t>
        </is>
      </c>
      <c r="C61" s="41" t="inlineStr">
        <is>
          <t>FILTER BODY (ATCR)</t>
        </is>
      </c>
      <c r="D61" s="42" t="n">
        <v>78400</v>
      </c>
      <c r="E61" s="42" t="n">
        <v>29008000</v>
      </c>
      <c r="F61" s="42" t="n">
        <v>67200</v>
      </c>
      <c r="G61" s="43" t="n">
        <v>28089600</v>
      </c>
      <c r="H61" s="44">
        <f>G61-E61</f>
        <v/>
      </c>
      <c r="I61" s="45">
        <f>IFERROR(H61/G61,"")</f>
        <v/>
      </c>
      <c r="J61" s="40" t="inlineStr">
        <is>
          <t>MCM</t>
        </is>
      </c>
    </row>
    <row r="62" ht="17" customHeight="1">
      <c r="A62" s="46" t="inlineStr"/>
      <c r="B62" s="40" t="inlineStr">
        <is>
          <t>A11-150-0</t>
        </is>
      </c>
      <c r="C62" s="41" t="inlineStr">
        <is>
          <t>FILTER BODY (TCR)</t>
        </is>
      </c>
      <c r="D62" s="42" t="n">
        <v>12528</v>
      </c>
      <c r="E62" s="42" t="n">
        <v>4008960</v>
      </c>
      <c r="F62" s="42" t="n">
        <v>3240</v>
      </c>
      <c r="G62" s="43" t="n">
        <v>1192320</v>
      </c>
      <c r="H62" s="44">
        <f>G62-E62</f>
        <v/>
      </c>
      <c r="I62" s="45">
        <f>IFERROR(H62/G62,"")</f>
        <v/>
      </c>
      <c r="J62" s="40" t="inlineStr">
        <is>
          <t>MCM</t>
        </is>
      </c>
    </row>
    <row r="63" ht="17" customHeight="1">
      <c r="A63" s="31" t="inlineStr">
        <is>
          <t>상원인더스</t>
        </is>
      </c>
      <c r="B63" s="32" t="inlineStr">
        <is>
          <t>HMG2CE100T002EC</t>
        </is>
      </c>
      <c r="C63" s="33" t="inlineStr">
        <is>
          <t>MOLD COVER ELCB HM-RP 68MM</t>
        </is>
      </c>
      <c r="D63" s="34" t="n">
        <v>40800</v>
      </c>
      <c r="E63" s="34" t="n">
        <v>9792000</v>
      </c>
      <c r="F63" s="34" t="n">
        <v>40800</v>
      </c>
      <c r="G63" s="35" t="n">
        <v>12280800</v>
      </c>
      <c r="H63" s="36">
        <f>G63-E63</f>
        <v/>
      </c>
      <c r="I63" s="37">
        <f>IFERROR(H63/G63,"")</f>
        <v/>
      </c>
      <c r="J63" s="32" t="inlineStr">
        <is>
          <t>큐비테크</t>
        </is>
      </c>
    </row>
    <row r="64" ht="17" customHeight="1">
      <c r="A64" s="38" t="inlineStr"/>
      <c r="B64" s="32" t="inlineStr">
        <is>
          <t>GM1-MO-0401</t>
        </is>
      </c>
      <c r="C64" s="33" t="inlineStr">
        <is>
          <t>HGC18 ARC-CHAMBER LOAD</t>
        </is>
      </c>
      <c r="D64" s="34" t="n">
        <v>42240</v>
      </c>
      <c r="E64" s="34" t="n">
        <v>8448000</v>
      </c>
      <c r="F64" s="34" t="n">
        <v>42240</v>
      </c>
      <c r="G64" s="35" t="n">
        <v>9039360</v>
      </c>
      <c r="H64" s="36">
        <f>G64-E64</f>
        <v/>
      </c>
      <c r="I64" s="37">
        <f>IFERROR(H64/G64,"")</f>
        <v/>
      </c>
      <c r="J64" s="32" t="inlineStr">
        <is>
          <t>승림전자</t>
        </is>
      </c>
    </row>
    <row r="65" ht="17" customHeight="1">
      <c r="A65" s="38" t="inlineStr"/>
      <c r="B65" s="32" t="inlineStr">
        <is>
          <t>GM1-MO-0451</t>
        </is>
      </c>
      <c r="C65" s="33" t="inlineStr">
        <is>
          <t>HGC18 ARC-CHAMBER LINE</t>
        </is>
      </c>
      <c r="D65" s="34" t="n">
        <v>41600</v>
      </c>
      <c r="E65" s="34" t="n">
        <v>8320000</v>
      </c>
      <c r="F65" s="34" t="n">
        <v>41600</v>
      </c>
      <c r="G65" s="35" t="n">
        <v>8902400</v>
      </c>
      <c r="H65" s="36">
        <f>G65-E65</f>
        <v/>
      </c>
      <c r="I65" s="37">
        <f>IFERROR(H65/G65,"")</f>
        <v/>
      </c>
      <c r="J65" s="32" t="inlineStr">
        <is>
          <t>승림전자</t>
        </is>
      </c>
    </row>
    <row r="66" ht="17" customHeight="1">
      <c r="A66" s="38" t="inlineStr"/>
      <c r="B66" s="32" t="inlineStr">
        <is>
          <t>HMG2CM050T0001EC</t>
        </is>
      </c>
      <c r="C66" s="33" t="inlineStr">
        <is>
          <t>MOLD COVER MCCB HM-RA 68MM</t>
        </is>
      </c>
      <c r="D66" s="34" t="n">
        <v>30240</v>
      </c>
      <c r="E66" s="34" t="n">
        <v>7862400</v>
      </c>
      <c r="F66" s="34" t="n">
        <v>30240</v>
      </c>
      <c r="G66" s="35" t="n">
        <v>8316000</v>
      </c>
      <c r="H66" s="36">
        <f>G66-E66</f>
        <v/>
      </c>
      <c r="I66" s="37">
        <f>IFERROR(H66/G66,"")</f>
        <v/>
      </c>
      <c r="J66" s="32" t="inlineStr">
        <is>
          <t>큐비테크</t>
        </is>
      </c>
    </row>
    <row r="67" ht="17" customHeight="1">
      <c r="A67" s="38" t="inlineStr"/>
      <c r="B67" s="32" t="inlineStr">
        <is>
          <t>GC2-MO-0040</t>
        </is>
      </c>
      <c r="C67" s="33" t="inlineStr">
        <is>
          <t>HGM125 GRID LEFT-CAP(신작)</t>
        </is>
      </c>
      <c r="D67" s="34" t="n">
        <v>90000</v>
      </c>
      <c r="E67" s="34" t="n">
        <v>2700000</v>
      </c>
      <c r="F67" s="34" t="n">
        <v>160000</v>
      </c>
      <c r="G67" s="35" t="n">
        <v>6720000</v>
      </c>
      <c r="H67" s="36">
        <f>G67-E67</f>
        <v/>
      </c>
      <c r="I67" s="37">
        <f>IFERROR(H67/G67,"")</f>
        <v/>
      </c>
      <c r="J67" s="32" t="inlineStr">
        <is>
          <t>(주)대양</t>
        </is>
      </c>
    </row>
    <row r="68" ht="17" customHeight="1">
      <c r="A68" s="38" t="inlineStr"/>
      <c r="B68" s="32" t="inlineStr">
        <is>
          <t>GC2-MO-0047</t>
        </is>
      </c>
      <c r="C68" s="33" t="inlineStr">
        <is>
          <t>HGM125 GRID RIGHT-CAP(신작)</t>
        </is>
      </c>
      <c r="D68" s="34" t="n">
        <v>90000</v>
      </c>
      <c r="E68" s="34" t="n">
        <v>2700000</v>
      </c>
      <c r="F68" s="34" t="n">
        <v>160000</v>
      </c>
      <c r="G68" s="35" t="n">
        <v>6720000</v>
      </c>
      <c r="H68" s="36">
        <f>G68-E68</f>
        <v/>
      </c>
      <c r="I68" s="37">
        <f>IFERROR(H68/G68,"")</f>
        <v/>
      </c>
      <c r="J68" s="32" t="inlineStr">
        <is>
          <t>(주)대양</t>
        </is>
      </c>
    </row>
    <row r="69" ht="17" customHeight="1">
      <c r="A69" s="38" t="inlineStr"/>
      <c r="B69" s="32" t="inlineStr">
        <is>
          <t>GC3-MO-0052</t>
        </is>
      </c>
      <c r="C69" s="33" t="inlineStr">
        <is>
          <t>HGM250 GRID LEFT -CAP(신작)</t>
        </is>
      </c>
      <c r="D69" s="34" t="n">
        <v>90000</v>
      </c>
      <c r="E69" s="34" t="n">
        <v>3240000</v>
      </c>
      <c r="F69" s="34" t="n">
        <v>90000</v>
      </c>
      <c r="G69" s="35" t="n">
        <v>4500000</v>
      </c>
      <c r="H69" s="36">
        <f>G69-E69</f>
        <v/>
      </c>
      <c r="I69" s="37">
        <f>IFERROR(H69/G69,"")</f>
        <v/>
      </c>
      <c r="J69" s="32" t="inlineStr">
        <is>
          <t>(주)대양</t>
        </is>
      </c>
    </row>
    <row r="70" ht="17" customHeight="1">
      <c r="A70" s="38" t="inlineStr"/>
      <c r="B70" s="32" t="inlineStr">
        <is>
          <t>GC3-MO-0053</t>
        </is>
      </c>
      <c r="C70" s="33" t="inlineStr">
        <is>
          <t>HGM250 GRID RIGHT-CAP(신작)</t>
        </is>
      </c>
      <c r="D70" s="34" t="n">
        <v>90000</v>
      </c>
      <c r="E70" s="34" t="n">
        <v>3240000</v>
      </c>
      <c r="F70" s="34" t="n">
        <v>90000</v>
      </c>
      <c r="G70" s="35" t="n">
        <v>4500000</v>
      </c>
      <c r="H70" s="36">
        <f>G70-E70</f>
        <v/>
      </c>
      <c r="I70" s="37">
        <f>IFERROR(H70/G70,"")</f>
        <v/>
      </c>
      <c r="J70" s="32" t="inlineStr">
        <is>
          <t>(주)대양</t>
        </is>
      </c>
    </row>
    <row r="71" ht="17" customHeight="1">
      <c r="A71" s="38" t="inlineStr"/>
      <c r="B71" s="32" t="inlineStr">
        <is>
          <t>HMG2CM050T0002EC</t>
        </is>
      </c>
      <c r="C71" s="33" t="inlineStr">
        <is>
          <t>MOLD COVER MCCB HM-RP 68MM</t>
        </is>
      </c>
      <c r="D71" s="34" t="n">
        <v>3360</v>
      </c>
      <c r="E71" s="34" t="n">
        <v>873600</v>
      </c>
      <c r="F71" s="34" t="n">
        <v>3360</v>
      </c>
      <c r="G71" s="35" t="n">
        <v>1011360</v>
      </c>
      <c r="H71" s="36">
        <f>G71-E71</f>
        <v/>
      </c>
      <c r="I71" s="37">
        <f>IFERROR(H71/G71,"")</f>
        <v/>
      </c>
      <c r="J71" s="32" t="inlineStr">
        <is>
          <t>큐비테크</t>
        </is>
      </c>
    </row>
    <row r="72" ht="17" customHeight="1">
      <c r="A72" s="39" t="inlineStr">
        <is>
          <t>성일플라스틱</t>
        </is>
      </c>
      <c r="B72" s="40" t="inlineStr">
        <is>
          <t>A12-110-0</t>
        </is>
      </c>
      <c r="C72" s="41" t="inlineStr">
        <is>
          <t>CAP FILTER - N</t>
        </is>
      </c>
      <c r="D72" s="42" t="n">
        <v>106400</v>
      </c>
      <c r="E72" s="42" t="n">
        <v>14896000</v>
      </c>
      <c r="F72" s="42" t="n">
        <v>96000</v>
      </c>
      <c r="G72" s="43" t="n">
        <v>15648000</v>
      </c>
      <c r="H72" s="44">
        <f>G72-E72</f>
        <v/>
      </c>
      <c r="I72" s="45">
        <f>IFERROR(H72/G72,"")</f>
        <v/>
      </c>
      <c r="J72" s="40" t="inlineStr">
        <is>
          <t>MCM</t>
        </is>
      </c>
    </row>
    <row r="73" ht="17" customHeight="1">
      <c r="A73" s="46" t="inlineStr"/>
      <c r="B73" s="40" t="inlineStr">
        <is>
          <t>GC1-MO-0026</t>
        </is>
      </c>
      <c r="C73" s="41" t="inlineStr">
        <is>
          <t>HGM100 INTERPOLE BARRIER(제품)</t>
        </is>
      </c>
      <c r="D73" s="42" t="n">
        <v>130000</v>
      </c>
      <c r="E73" s="42" t="n">
        <v>9100000</v>
      </c>
      <c r="F73" s="42" t="n">
        <v>130000</v>
      </c>
      <c r="G73" s="43" t="n">
        <v>15600000</v>
      </c>
      <c r="H73" s="44">
        <f>G73-E73</f>
        <v/>
      </c>
      <c r="I73" s="45">
        <f>IFERROR(H73/G73,"")</f>
        <v/>
      </c>
      <c r="J73" s="40" t="inlineStr">
        <is>
          <t>HD현대일렉트릭</t>
        </is>
      </c>
    </row>
    <row r="74" ht="17" customHeight="1">
      <c r="A74" s="46" t="inlineStr"/>
      <c r="B74" s="40" t="inlineStr">
        <is>
          <t>GM1-MO-0501</t>
        </is>
      </c>
      <c r="C74" s="41" t="inlineStr">
        <is>
          <t>HGC18 CONTACT BRIDGE AC</t>
        </is>
      </c>
      <c r="D74" s="42" t="n">
        <v>44000</v>
      </c>
      <c r="E74" s="42" t="n">
        <v>6600000</v>
      </c>
      <c r="F74" s="42" t="n">
        <v>44000</v>
      </c>
      <c r="G74" s="43" t="n">
        <v>7568000</v>
      </c>
      <c r="H74" s="44">
        <f>G74-E74</f>
        <v/>
      </c>
      <c r="I74" s="45">
        <f>IFERROR(H74/G74,"")</f>
        <v/>
      </c>
      <c r="J74" s="40" t="inlineStr">
        <is>
          <t>승림전자</t>
        </is>
      </c>
    </row>
    <row r="75" ht="17" customHeight="1">
      <c r="A75" s="46" t="inlineStr"/>
      <c r="B75" s="40" t="inlineStr">
        <is>
          <t>60463562001</t>
        </is>
      </c>
      <c r="C75" s="41" t="inlineStr">
        <is>
          <t>SHAFT,MOLD,GRMU L</t>
        </is>
      </c>
      <c r="D75" s="42" t="n">
        <v>2760</v>
      </c>
      <c r="E75" s="42" t="n">
        <v>11868000</v>
      </c>
      <c r="F75" s="42" t="n">
        <v>1440</v>
      </c>
      <c r="G75" s="43" t="n">
        <v>7521120</v>
      </c>
      <c r="H75" s="44">
        <f>G75-E75</f>
        <v/>
      </c>
      <c r="I75" s="45">
        <f>IFERROR(H75/G75,"")</f>
        <v/>
      </c>
      <c r="J75" s="40" t="inlineStr">
        <is>
          <t>대신정밀</t>
        </is>
      </c>
    </row>
    <row r="76" ht="17" customHeight="1">
      <c r="A76" s="46" t="inlineStr"/>
      <c r="B76" s="40" t="inlineStr">
        <is>
          <t>3AT-03417</t>
        </is>
      </c>
      <c r="C76" s="41" t="inlineStr">
        <is>
          <t>U-CT  BASE COVER-A</t>
        </is>
      </c>
      <c r="D76" s="42" t="n">
        <v>8000</v>
      </c>
      <c r="E76" s="42" t="n">
        <v>4080000</v>
      </c>
      <c r="F76" s="42" t="n">
        <v>8000</v>
      </c>
      <c r="G76" s="43" t="n">
        <v>5008000</v>
      </c>
      <c r="H76" s="44">
        <f>G76-E76</f>
        <v/>
      </c>
      <c r="I76" s="45">
        <f>IFERROR(H76/G76,"")</f>
        <v/>
      </c>
      <c r="J76" s="40" t="inlineStr">
        <is>
          <t>H,R TECH</t>
        </is>
      </c>
    </row>
    <row r="77" ht="17" customHeight="1">
      <c r="A77" s="46" t="inlineStr"/>
      <c r="B77" s="40" t="inlineStr">
        <is>
          <t>3AT-03432</t>
        </is>
      </c>
      <c r="C77" s="41" t="inlineStr">
        <is>
          <t>U-OCR PROTECTION COVER</t>
        </is>
      </c>
      <c r="D77" s="42" t="n">
        <v>16500</v>
      </c>
      <c r="E77" s="42" t="n">
        <v>2970000</v>
      </c>
      <c r="F77" s="42" t="n">
        <v>16500</v>
      </c>
      <c r="G77" s="43" t="n">
        <v>3564000</v>
      </c>
      <c r="H77" s="44">
        <f>G77-E77</f>
        <v/>
      </c>
      <c r="I77" s="45">
        <f>IFERROR(H77/G77,"")</f>
        <v/>
      </c>
      <c r="J77" s="40" t="inlineStr">
        <is>
          <t>HD현대일렉트릭</t>
        </is>
      </c>
    </row>
    <row r="78" ht="17" customHeight="1">
      <c r="A78" s="46" t="inlineStr"/>
      <c r="B78" s="40" t="inlineStr">
        <is>
          <t>3AT-04221</t>
        </is>
      </c>
      <c r="C78" s="41" t="inlineStr">
        <is>
          <t>U-CT BASE COVER-B</t>
        </is>
      </c>
      <c r="D78" s="42" t="n">
        <v>3000</v>
      </c>
      <c r="E78" s="42" t="n">
        <v>2160000</v>
      </c>
      <c r="F78" s="42" t="n">
        <v>3000</v>
      </c>
      <c r="G78" s="43" t="n">
        <v>2538000</v>
      </c>
      <c r="H78" s="44">
        <f>G78-E78</f>
        <v/>
      </c>
      <c r="I78" s="45">
        <f>IFERROR(H78/G78,"")</f>
        <v/>
      </c>
      <c r="J78" s="40" t="inlineStr">
        <is>
          <t>H,R TECH</t>
        </is>
      </c>
    </row>
    <row r="79" ht="17" customHeight="1">
      <c r="A79" s="46" t="inlineStr"/>
      <c r="B79" s="40" t="inlineStr">
        <is>
          <t>4AT-06474</t>
        </is>
      </c>
      <c r="C79" s="41" t="inlineStr">
        <is>
          <t>U- POWER BOBIN-A</t>
        </is>
      </c>
      <c r="D79" s="42" t="n">
        <v>32000</v>
      </c>
      <c r="E79" s="42" t="n">
        <v>5440000</v>
      </c>
      <c r="F79" s="42" t="n">
        <v>0</v>
      </c>
      <c r="G79" s="43" t="n">
        <v>0</v>
      </c>
      <c r="H79" s="44">
        <f>G79-E79</f>
        <v/>
      </c>
      <c r="I79" s="45">
        <f>IFERROR(H79/G79,"")</f>
        <v/>
      </c>
      <c r="J79" s="40" t="inlineStr">
        <is>
          <t>—</t>
        </is>
      </c>
    </row>
    <row r="80" ht="17" customHeight="1">
      <c r="A80" s="31" t="inlineStr">
        <is>
          <t>금호하이테크</t>
        </is>
      </c>
      <c r="B80" s="32" t="inlineStr">
        <is>
          <t>GC3-MO-0017</t>
        </is>
      </c>
      <c r="C80" s="33" t="inlineStr">
        <is>
          <t>HGM250 INTERPOLE BARRIER</t>
        </is>
      </c>
      <c r="D80" s="34" t="n">
        <v>58000</v>
      </c>
      <c r="E80" s="34" t="n">
        <v>4640000</v>
      </c>
      <c r="F80" s="34" t="n">
        <v>58000</v>
      </c>
      <c r="G80" s="35" t="n">
        <v>7540000</v>
      </c>
      <c r="H80" s="36">
        <f>G80-E80</f>
        <v/>
      </c>
      <c r="I80" s="37">
        <f>IFERROR(H80/G80,"")</f>
        <v/>
      </c>
      <c r="J80" s="32" t="inlineStr">
        <is>
          <t>HD현대일렉트릭</t>
        </is>
      </c>
    </row>
    <row r="81" ht="17" customHeight="1">
      <c r="A81" s="38" t="inlineStr"/>
      <c r="B81" s="32" t="inlineStr">
        <is>
          <t>1ME-11142</t>
        </is>
      </c>
      <c r="C81" s="33" t="inlineStr">
        <is>
          <t>MOLD BASE 2P 50A ,ELCB</t>
        </is>
      </c>
      <c r="D81" s="34" t="n">
        <v>5104</v>
      </c>
      <c r="E81" s="34" t="n">
        <v>3317600</v>
      </c>
      <c r="F81" s="34" t="n">
        <v>5104</v>
      </c>
      <c r="G81" s="35" t="n">
        <v>4716096</v>
      </c>
      <c r="H81" s="36">
        <f>G81-E81</f>
        <v/>
      </c>
      <c r="I81" s="37">
        <f>IFERROR(H81/G81,"")</f>
        <v/>
      </c>
      <c r="J81" s="32" t="inlineStr">
        <is>
          <t>큐비테크</t>
        </is>
      </c>
    </row>
    <row r="82" ht="17" customHeight="1">
      <c r="A82" s="38" t="inlineStr"/>
      <c r="B82" s="32" t="inlineStr">
        <is>
          <t>GC2-MO-0026</t>
        </is>
      </c>
      <c r="C82" s="33" t="inlineStr">
        <is>
          <t>ADJ SUB TRIP SHAFT HGM125</t>
        </is>
      </c>
      <c r="D82" s="34" t="n">
        <v>38000</v>
      </c>
      <c r="E82" s="34" t="n">
        <v>3230000</v>
      </c>
      <c r="F82" s="34" t="n">
        <v>38000</v>
      </c>
      <c r="G82" s="35" t="n">
        <v>3724000</v>
      </c>
      <c r="H82" s="36">
        <f>G82-E82</f>
        <v/>
      </c>
      <c r="I82" s="37">
        <f>IFERROR(H82/G82,"")</f>
        <v/>
      </c>
      <c r="J82" s="32" t="inlineStr">
        <is>
          <t>HD현대일렉트릭</t>
        </is>
      </c>
    </row>
    <row r="83" ht="17" customHeight="1">
      <c r="A83" s="38" t="inlineStr"/>
      <c r="B83" s="32" t="inlineStr">
        <is>
          <t>GC3-MO-0021-001</t>
        </is>
      </c>
      <c r="C83" s="33" t="inlineStr">
        <is>
          <t>ADJ SUB TRIP_SHAFT HGM250</t>
        </is>
      </c>
      <c r="D83" s="34" t="n">
        <v>20000</v>
      </c>
      <c r="E83" s="34" t="n">
        <v>2000000</v>
      </c>
      <c r="F83" s="34" t="n">
        <v>20000</v>
      </c>
      <c r="G83" s="35" t="n">
        <v>3600000</v>
      </c>
      <c r="H83" s="36">
        <f>G83-E83</f>
        <v/>
      </c>
      <c r="I83" s="37">
        <f>IFERROR(H83/G83,"")</f>
        <v/>
      </c>
      <c r="J83" s="32" t="inlineStr">
        <is>
          <t>HD현대일렉트릭</t>
        </is>
      </c>
    </row>
    <row r="84" ht="17" customHeight="1">
      <c r="A84" s="38" t="inlineStr"/>
      <c r="B84" s="32" t="inlineStr">
        <is>
          <t>64261147102</t>
        </is>
      </c>
      <c r="C84" s="33" t="inlineStr">
        <is>
          <t>BASE,HANDLE,E-60U/70U/80U</t>
        </is>
      </c>
      <c r="D84" s="34" t="n">
        <v>2100</v>
      </c>
      <c r="E84" s="34" t="n">
        <v>2835000</v>
      </c>
      <c r="F84" s="34" t="n">
        <v>2100</v>
      </c>
      <c r="G84" s="35" t="n">
        <v>3574200</v>
      </c>
      <c r="H84" s="36">
        <f>G84-E84</f>
        <v/>
      </c>
      <c r="I84" s="37">
        <f>IFERROR(H84/G84,"")</f>
        <v/>
      </c>
      <c r="J84" s="32" t="inlineStr">
        <is>
          <t>성신산전, 하이베로</t>
        </is>
      </c>
    </row>
    <row r="85" ht="17" customHeight="1">
      <c r="A85" s="38" t="inlineStr"/>
      <c r="B85" s="32" t="inlineStr">
        <is>
          <t>1ME-11140</t>
        </is>
      </c>
      <c r="C85" s="33" t="inlineStr">
        <is>
          <t>MOLD COVER 2P , MCCB</t>
        </is>
      </c>
      <c r="D85" s="34" t="n">
        <v>8160</v>
      </c>
      <c r="E85" s="34" t="n">
        <v>2448000</v>
      </c>
      <c r="F85" s="34" t="n">
        <v>8160</v>
      </c>
      <c r="G85" s="35" t="n">
        <v>3084480</v>
      </c>
      <c r="H85" s="36">
        <f>G85-E85</f>
        <v/>
      </c>
      <c r="I85" s="37">
        <f>IFERROR(H85/G85,"")</f>
        <v/>
      </c>
      <c r="J85" s="32" t="inlineStr">
        <is>
          <t>큐비테크</t>
        </is>
      </c>
    </row>
    <row r="86" ht="17" customHeight="1">
      <c r="A86" s="38" t="inlineStr"/>
      <c r="B86" s="32" t="inlineStr">
        <is>
          <t>64261147106</t>
        </is>
      </c>
      <c r="C86" s="33" t="inlineStr">
        <is>
          <t>BASE,HANDLE EHX ,E-60U(black)</t>
        </is>
      </c>
      <c r="D86" s="34" t="n">
        <v>1050</v>
      </c>
      <c r="E86" s="34" t="n">
        <v>1785000</v>
      </c>
      <c r="F86" s="34" t="n">
        <v>1350</v>
      </c>
      <c r="G86" s="35" t="n">
        <v>3007800</v>
      </c>
      <c r="H86" s="36">
        <f>G86-E86</f>
        <v/>
      </c>
      <c r="I86" s="37">
        <f>IFERROR(H86/G86,"")</f>
        <v/>
      </c>
      <c r="J86" s="32" t="inlineStr">
        <is>
          <t>성신산전, 하이베로</t>
        </is>
      </c>
    </row>
    <row r="87" ht="17" customHeight="1">
      <c r="A87" s="38" t="inlineStr"/>
      <c r="B87" s="32" t="inlineStr">
        <is>
          <t>4ME-09531</t>
        </is>
      </c>
      <c r="C87" s="33" t="inlineStr">
        <is>
          <t>INTERPOLE BARRIER(25GP)</t>
        </is>
      </c>
      <c r="D87" s="34" t="n">
        <v>16800</v>
      </c>
      <c r="E87" s="34" t="n">
        <v>1344000</v>
      </c>
      <c r="F87" s="34" t="n">
        <v>16800</v>
      </c>
      <c r="G87" s="35" t="n">
        <v>2184000</v>
      </c>
      <c r="H87" s="36">
        <f>G87-E87</f>
        <v/>
      </c>
      <c r="I87" s="37">
        <f>IFERROR(H87/G87,"")</f>
        <v/>
      </c>
      <c r="J87" s="32" t="inlineStr">
        <is>
          <t>HD현대일렉트릭</t>
        </is>
      </c>
    </row>
    <row r="88" ht="17" customHeight="1">
      <c r="A88" s="38" t="inlineStr"/>
      <c r="B88" s="32" t="inlineStr">
        <is>
          <t>GC1-MO-0057</t>
        </is>
      </c>
      <c r="C88" s="33" t="inlineStr">
        <is>
          <t>ADJ SUB TRIP SHAFT (40A~100A) HGM100</t>
        </is>
      </c>
      <c r="D88" s="34" t="n">
        <v>17500</v>
      </c>
      <c r="E88" s="34" t="n">
        <v>1312500</v>
      </c>
      <c r="F88" s="34" t="n">
        <v>22000</v>
      </c>
      <c r="G88" s="35" t="n">
        <v>2156000</v>
      </c>
      <c r="H88" s="36">
        <f>G88-E88</f>
        <v/>
      </c>
      <c r="I88" s="37">
        <f>IFERROR(H88/G88,"")</f>
        <v/>
      </c>
      <c r="J88" s="32" t="inlineStr">
        <is>
          <t>HD현대일렉트릭</t>
        </is>
      </c>
    </row>
    <row r="89" ht="17" customHeight="1">
      <c r="A89" s="38" t="inlineStr"/>
      <c r="B89" s="32" t="inlineStr">
        <is>
          <t>3AT-03391</t>
        </is>
      </c>
      <c r="C89" s="33" t="inlineStr">
        <is>
          <t>SC DR INDICATOR</t>
        </is>
      </c>
      <c r="D89" s="34" t="n">
        <v>3000</v>
      </c>
      <c r="E89" s="34" t="n">
        <v>1350000</v>
      </c>
      <c r="F89" s="34" t="n">
        <v>3000</v>
      </c>
      <c r="G89" s="35" t="n">
        <v>2037000</v>
      </c>
      <c r="H89" s="36">
        <f>G89-E89</f>
        <v/>
      </c>
      <c r="I89" s="37">
        <f>IFERROR(H89/G89,"")</f>
        <v/>
      </c>
      <c r="J89" s="32" t="inlineStr">
        <is>
          <t>신웅 이엠씨</t>
        </is>
      </c>
    </row>
    <row r="90" ht="17" customHeight="1">
      <c r="A90" s="38" t="inlineStr"/>
      <c r="B90" s="32" t="inlineStr">
        <is>
          <t>1ME-11136(ELCB)</t>
        </is>
      </c>
      <c r="C90" s="33" t="inlineStr">
        <is>
          <t>MOLD COVER HM-S (ELCB)</t>
        </is>
      </c>
      <c r="D90" s="34" t="n">
        <v>6500</v>
      </c>
      <c r="E90" s="34" t="n">
        <v>1300000</v>
      </c>
      <c r="F90" s="34" t="n">
        <v>6500</v>
      </c>
      <c r="G90" s="35" t="n">
        <v>1904500</v>
      </c>
      <c r="H90" s="36">
        <f>G90-E90</f>
        <v/>
      </c>
      <c r="I90" s="37">
        <f>IFERROR(H90/G90,"")</f>
        <v/>
      </c>
      <c r="J90" s="32" t="inlineStr">
        <is>
          <t>큐비테크</t>
        </is>
      </c>
    </row>
    <row r="91" ht="17" customHeight="1">
      <c r="A91" s="38" t="inlineStr"/>
      <c r="B91" s="32" t="inlineStr">
        <is>
          <t>GC1-MO-0031</t>
        </is>
      </c>
      <c r="C91" s="33" t="inlineStr">
        <is>
          <t>ADJ SUB TRIP SHAFT HGM100</t>
        </is>
      </c>
      <c r="D91" s="34" t="n">
        <v>22000</v>
      </c>
      <c r="E91" s="34" t="n">
        <v>1650000</v>
      </c>
      <c r="F91" s="34" t="n">
        <v>22000</v>
      </c>
      <c r="G91" s="35" t="n">
        <v>1892000</v>
      </c>
      <c r="H91" s="36">
        <f>G91-E91</f>
        <v/>
      </c>
      <c r="I91" s="37">
        <f>IFERROR(H91/G91,"")</f>
        <v/>
      </c>
      <c r="J91" s="32" t="inlineStr">
        <is>
          <t>HD현대일렉트릭</t>
        </is>
      </c>
    </row>
    <row r="92" ht="17" customHeight="1">
      <c r="A92" s="38" t="inlineStr"/>
      <c r="B92" s="32" t="inlineStr">
        <is>
          <t>GM7-MO-0504</t>
        </is>
      </c>
      <c r="C92" s="33" t="inlineStr">
        <is>
          <t>HGC500AF PCB CASE</t>
        </is>
      </c>
      <c r="D92" s="34" t="n">
        <v>2124</v>
      </c>
      <c r="E92" s="34" t="n">
        <v>1062000</v>
      </c>
      <c r="F92" s="34" t="n">
        <v>2124</v>
      </c>
      <c r="G92" s="35" t="n">
        <v>1699200</v>
      </c>
      <c r="H92" s="36">
        <f>G92-E92</f>
        <v/>
      </c>
      <c r="I92" s="37">
        <f>IFERROR(H92/G92,"")</f>
        <v/>
      </c>
      <c r="J92" s="32" t="inlineStr">
        <is>
          <t>케이엠데이타</t>
        </is>
      </c>
    </row>
    <row r="93" ht="17" customHeight="1">
      <c r="A93" s="38" t="inlineStr"/>
      <c r="B93" s="32" t="inlineStr">
        <is>
          <t>4ME-09614</t>
        </is>
      </c>
      <c r="C93" s="33" t="inlineStr">
        <is>
          <t>LINE BARIRER</t>
        </is>
      </c>
      <c r="D93" s="34" t="n">
        <v>20000</v>
      </c>
      <c r="E93" s="34" t="n">
        <v>600000</v>
      </c>
      <c r="F93" s="34" t="n">
        <v>20000</v>
      </c>
      <c r="G93" s="35" t="n">
        <v>1540000</v>
      </c>
      <c r="H93" s="36">
        <f>G93-E93</f>
        <v/>
      </c>
      <c r="I93" s="37">
        <f>IFERROR(H93/G93,"")</f>
        <v/>
      </c>
      <c r="J93" s="32" t="inlineStr">
        <is>
          <t>큐비테크</t>
        </is>
      </c>
    </row>
    <row r="94" ht="17" customHeight="1">
      <c r="A94" s="38" t="inlineStr"/>
      <c r="B94" s="32" t="inlineStr">
        <is>
          <t>GC1-MO-0038</t>
        </is>
      </c>
      <c r="C94" s="33" t="inlineStr">
        <is>
          <t>ADJ SUB TRIP 2P SHAFT HGM100</t>
        </is>
      </c>
      <c r="D94" s="34" t="n">
        <v>14000</v>
      </c>
      <c r="E94" s="34" t="n">
        <v>1260000</v>
      </c>
      <c r="F94" s="34" t="n">
        <v>14000</v>
      </c>
      <c r="G94" s="35" t="n">
        <v>1540000</v>
      </c>
      <c r="H94" s="36">
        <f>G94-E94</f>
        <v/>
      </c>
      <c r="I94" s="37">
        <f>IFERROR(H94/G94,"")</f>
        <v/>
      </c>
      <c r="J94" s="32" t="inlineStr">
        <is>
          <t>HD현대일렉트릭</t>
        </is>
      </c>
    </row>
    <row r="95" ht="17" customHeight="1">
      <c r="A95" s="38" t="inlineStr"/>
      <c r="B95" s="32" t="inlineStr">
        <is>
          <t>64261147101</t>
        </is>
      </c>
      <c r="C95" s="33" t="inlineStr">
        <is>
          <t>BASE BACK,E-60U/70U/80U</t>
        </is>
      </c>
      <c r="D95" s="34" t="n">
        <v>2000</v>
      </c>
      <c r="E95" s="34" t="n">
        <v>1000000</v>
      </c>
      <c r="F95" s="34" t="n">
        <v>2000</v>
      </c>
      <c r="G95" s="35" t="n">
        <v>1470000</v>
      </c>
      <c r="H95" s="36">
        <f>G95-E95</f>
        <v/>
      </c>
      <c r="I95" s="37">
        <f>IFERROR(H95/G95,"")</f>
        <v/>
      </c>
      <c r="J95" s="32" t="inlineStr">
        <is>
          <t>성신산전, 하이베로</t>
        </is>
      </c>
    </row>
    <row r="96" ht="17" customHeight="1">
      <c r="A96" s="38" t="inlineStr"/>
      <c r="B96" s="32" t="inlineStr">
        <is>
          <t>1ME-11146</t>
        </is>
      </c>
      <c r="C96" s="33" t="inlineStr">
        <is>
          <t>MOLD COVER 2P , ELCB</t>
        </is>
      </c>
      <c r="D96" s="34" t="n">
        <v>3600</v>
      </c>
      <c r="E96" s="34" t="n">
        <v>1008000</v>
      </c>
      <c r="F96" s="34" t="n">
        <v>3840</v>
      </c>
      <c r="G96" s="35" t="n">
        <v>1420800</v>
      </c>
      <c r="H96" s="36">
        <f>G96-E96</f>
        <v/>
      </c>
      <c r="I96" s="37">
        <f>IFERROR(H96/G96,"")</f>
        <v/>
      </c>
      <c r="J96" s="32" t="inlineStr">
        <is>
          <t>큐비테크</t>
        </is>
      </c>
    </row>
    <row r="97" ht="17" customHeight="1">
      <c r="A97" s="38" t="inlineStr"/>
      <c r="B97" s="32" t="inlineStr">
        <is>
          <t>64261147107</t>
        </is>
      </c>
      <c r="C97" s="33" t="inlineStr">
        <is>
          <t>BASE BACK EHX,E-60U(black)</t>
        </is>
      </c>
      <c r="D97" s="34" t="n">
        <v>1250</v>
      </c>
      <c r="E97" s="34" t="n">
        <v>750000</v>
      </c>
      <c r="F97" s="34" t="n">
        <v>1500</v>
      </c>
      <c r="G97" s="35" t="n">
        <v>1345500</v>
      </c>
      <c r="H97" s="36">
        <f>G97-E97</f>
        <v/>
      </c>
      <c r="I97" s="37">
        <f>IFERROR(H97/G97,"")</f>
        <v/>
      </c>
      <c r="J97" s="32" t="inlineStr">
        <is>
          <t>성신산전, 하이베로</t>
        </is>
      </c>
    </row>
    <row r="98" ht="17" customHeight="1">
      <c r="A98" s="38" t="inlineStr"/>
      <c r="B98" s="32" t="inlineStr">
        <is>
          <t>4ME-06964</t>
        </is>
      </c>
      <c r="C98" s="33" t="inlineStr">
        <is>
          <t>ASS"Y ARM/L</t>
        </is>
      </c>
      <c r="D98" s="34" t="n">
        <v>30000</v>
      </c>
      <c r="E98" s="34" t="n">
        <v>840000</v>
      </c>
      <c r="F98" s="34" t="n">
        <v>30000</v>
      </c>
      <c r="G98" s="35" t="n">
        <v>1230000</v>
      </c>
      <c r="H98" s="36">
        <f>G98-E98</f>
        <v/>
      </c>
      <c r="I98" s="37">
        <f>IFERROR(H98/G98,"")</f>
        <v/>
      </c>
      <c r="J98" s="32" t="inlineStr">
        <is>
          <t>신성폴리테크</t>
        </is>
      </c>
    </row>
    <row r="99" ht="17" customHeight="1">
      <c r="A99" s="38" t="inlineStr"/>
      <c r="B99" s="32" t="inlineStr">
        <is>
          <t>3ME-08112</t>
        </is>
      </c>
      <c r="C99" s="33" t="inlineStr">
        <is>
          <t>FRONT DOOR -MCCB-2P</t>
        </is>
      </c>
      <c r="D99" s="34" t="n">
        <v>8000</v>
      </c>
      <c r="E99" s="34" t="n">
        <v>760000</v>
      </c>
      <c r="F99" s="34" t="n">
        <v>8400</v>
      </c>
      <c r="G99" s="35" t="n">
        <v>1134000</v>
      </c>
      <c r="H99" s="36">
        <f>G99-E99</f>
        <v/>
      </c>
      <c r="I99" s="37">
        <f>IFERROR(H99/G99,"")</f>
        <v/>
      </c>
      <c r="J99" s="32" t="inlineStr">
        <is>
          <t>큐비테크</t>
        </is>
      </c>
    </row>
    <row r="100" ht="17" customHeight="1">
      <c r="A100" s="38" t="inlineStr"/>
      <c r="B100" s="32" t="inlineStr">
        <is>
          <t>4ME-09621</t>
        </is>
      </c>
      <c r="C100" s="33" t="inlineStr">
        <is>
          <t>INTERPOLE BARRIER</t>
        </is>
      </c>
      <c r="D100" s="34" t="n">
        <v>7500</v>
      </c>
      <c r="E100" s="34" t="n">
        <v>675000</v>
      </c>
      <c r="F100" s="34" t="n">
        <v>7500</v>
      </c>
      <c r="G100" s="35" t="n">
        <v>1065000</v>
      </c>
      <c r="H100" s="36">
        <f>G100-E100</f>
        <v/>
      </c>
      <c r="I100" s="37">
        <f>IFERROR(H100/G100,"")</f>
        <v/>
      </c>
      <c r="J100" s="32" t="inlineStr">
        <is>
          <t>큐비테크</t>
        </is>
      </c>
    </row>
    <row r="101" ht="17" customHeight="1">
      <c r="A101" s="38" t="inlineStr"/>
      <c r="B101" s="32" t="inlineStr">
        <is>
          <t>55211147102</t>
        </is>
      </c>
      <c r="C101" s="33" t="inlineStr">
        <is>
          <t>HANDLE,V EHX,E-60U  (black)</t>
        </is>
      </c>
      <c r="D101" s="34" t="n">
        <v>576</v>
      </c>
      <c r="E101" s="34" t="n">
        <v>748800</v>
      </c>
      <c r="F101" s="34" t="n">
        <v>576</v>
      </c>
      <c r="G101" s="35" t="n">
        <v>1044864</v>
      </c>
      <c r="H101" s="36">
        <f>G101-E101</f>
        <v/>
      </c>
      <c r="I101" s="37">
        <f>IFERROR(H101/G101,"")</f>
        <v/>
      </c>
      <c r="J101" s="32" t="inlineStr">
        <is>
          <t>성신산전, 하이베로</t>
        </is>
      </c>
    </row>
    <row r="102" ht="17" customHeight="1">
      <c r="A102" s="38" t="inlineStr"/>
      <c r="B102" s="32" t="inlineStr">
        <is>
          <t>3AT-05753</t>
        </is>
      </c>
      <c r="C102" s="33" t="inlineStr">
        <is>
          <t>H-MHT LEVER BA</t>
        </is>
      </c>
      <c r="D102" s="34" t="n">
        <v>4000</v>
      </c>
      <c r="E102" s="34" t="n">
        <v>200000</v>
      </c>
      <c r="F102" s="34" t="n">
        <v>4000</v>
      </c>
      <c r="G102" s="35" t="n">
        <v>1000000</v>
      </c>
      <c r="H102" s="36">
        <f>G102-E102</f>
        <v/>
      </c>
      <c r="I102" s="37">
        <f>IFERROR(H102/G102,"")</f>
        <v/>
      </c>
      <c r="J102" s="32" t="inlineStr">
        <is>
          <t>SH TECH</t>
        </is>
      </c>
    </row>
    <row r="103" ht="17" customHeight="1">
      <c r="A103" s="38" t="inlineStr"/>
      <c r="B103" s="32" t="inlineStr">
        <is>
          <t>1ME-11136(MCCB)</t>
        </is>
      </c>
      <c r="C103" s="33" t="inlineStr">
        <is>
          <t>MOLD COVER HM-S (MCCB)</t>
        </is>
      </c>
      <c r="D103" s="34" t="n">
        <v>1950</v>
      </c>
      <c r="E103" s="34" t="n">
        <v>390000</v>
      </c>
      <c r="F103" s="34" t="n">
        <v>1950</v>
      </c>
      <c r="G103" s="35" t="n">
        <v>571350</v>
      </c>
      <c r="H103" s="36">
        <f>G103-E103</f>
        <v/>
      </c>
      <c r="I103" s="37">
        <f>IFERROR(H103/G103,"")</f>
        <v/>
      </c>
      <c r="J103" s="32" t="inlineStr">
        <is>
          <t>큐비테크</t>
        </is>
      </c>
    </row>
    <row r="104" ht="17" customHeight="1">
      <c r="A104" s="38" t="inlineStr"/>
      <c r="B104" s="32" t="inlineStr">
        <is>
          <t>3ME-02415</t>
        </is>
      </c>
      <c r="C104" s="33" t="inlineStr">
        <is>
          <t>MCCB DWG PART/ASSY 3ME-02415 LEAKAGE CASE SUPPORT,HGE800 VCS</t>
        </is>
      </c>
      <c r="D104" s="34" t="n">
        <v>2000</v>
      </c>
      <c r="E104" s="34" t="n">
        <v>380000</v>
      </c>
      <c r="F104" s="34" t="n">
        <v>2000</v>
      </c>
      <c r="G104" s="35" t="n">
        <v>460000</v>
      </c>
      <c r="H104" s="36">
        <f>G104-E104</f>
        <v/>
      </c>
      <c r="I104" s="37">
        <f>IFERROR(H104/G104,"")</f>
        <v/>
      </c>
      <c r="J104" s="32" t="inlineStr">
        <is>
          <t>HD현대일렉트릭</t>
        </is>
      </c>
    </row>
    <row r="105" ht="17" customHeight="1">
      <c r="A105" s="38" t="inlineStr"/>
      <c r="B105" s="32" t="inlineStr">
        <is>
          <t>3ME-08114</t>
        </is>
      </c>
      <c r="C105" s="33" t="inlineStr">
        <is>
          <t>FRONT DOOR -ELCB-2P</t>
        </is>
      </c>
      <c r="D105" s="34" t="n">
        <v>1600</v>
      </c>
      <c r="E105" s="34" t="n">
        <v>152000</v>
      </c>
      <c r="F105" s="34" t="n">
        <v>1600</v>
      </c>
      <c r="G105" s="35" t="n">
        <v>216000</v>
      </c>
      <c r="H105" s="36">
        <f>G105-E105</f>
        <v/>
      </c>
      <c r="I105" s="37">
        <f>IFERROR(H105/G105,"")</f>
        <v/>
      </c>
      <c r="J105" s="32" t="inlineStr">
        <is>
          <t>큐비테크</t>
        </is>
      </c>
    </row>
    <row r="106" ht="17" customHeight="1">
      <c r="A106" s="38" t="inlineStr"/>
      <c r="B106" s="32" t="inlineStr">
        <is>
          <t>GC1-MO-5007</t>
        </is>
      </c>
      <c r="C106" s="33" t="inlineStr">
        <is>
          <t>Insulation Cover HGE100</t>
        </is>
      </c>
      <c r="D106" s="34" t="n">
        <v>2000</v>
      </c>
      <c r="E106" s="34" t="n">
        <v>110000</v>
      </c>
      <c r="F106" s="34" t="n">
        <v>2000</v>
      </c>
      <c r="G106" s="35" t="n">
        <v>192000</v>
      </c>
      <c r="H106" s="36">
        <f>G106-E106</f>
        <v/>
      </c>
      <c r="I106" s="37">
        <f>IFERROR(H106/G106,"")</f>
        <v/>
      </c>
      <c r="J106" s="32" t="inlineStr">
        <is>
          <t>HD현대일렉트릭</t>
        </is>
      </c>
    </row>
    <row r="107" ht="17" customHeight="1">
      <c r="A107" s="38" t="inlineStr"/>
      <c r="B107" s="32" t="inlineStr">
        <is>
          <t>GI1-MO-0014-002</t>
        </is>
      </c>
      <c r="C107" s="33" t="inlineStr">
        <is>
          <t>HG CAM A MAIN CASE(통신형)</t>
        </is>
      </c>
      <c r="D107" s="34" t="n">
        <v>816</v>
      </c>
      <c r="E107" s="34" t="n">
        <v>1632000</v>
      </c>
      <c r="F107" s="34" t="n">
        <v>816</v>
      </c>
      <c r="G107" s="35" t="n">
        <v>50592</v>
      </c>
      <c r="H107" s="36">
        <f>G107-E107</f>
        <v/>
      </c>
      <c r="I107" s="37">
        <f>IFERROR(H107/G107,"")</f>
        <v/>
      </c>
      <c r="J107" s="32" t="inlineStr">
        <is>
          <t>노바스이지</t>
        </is>
      </c>
    </row>
    <row r="108" ht="20" customHeight="1">
      <c r="A108" s="26" t="inlineStr">
        <is>
          <t>합  계</t>
        </is>
      </c>
      <c r="D108" s="27">
        <f>SUM(D19:D107)</f>
        <v/>
      </c>
      <c r="E108" s="27">
        <f>SUM(E19:E107)</f>
        <v/>
      </c>
      <c r="F108" s="27">
        <f>SUM(F19:F107)</f>
        <v/>
      </c>
      <c r="G108" s="27">
        <f>SUM(G19:G107)</f>
        <v/>
      </c>
      <c r="H108" s="27">
        <f>SUM(H19:H107)</f>
        <v/>
      </c>
      <c r="I108" s="28">
        <f>IFERROR(H108/G108,"")</f>
        <v/>
      </c>
    </row>
    <row r="110" ht="10" customHeight="1"/>
    <row r="111" ht="16" customHeight="1">
      <c r="A111" s="47" t="inlineStr">
        <is>
          <t>담당</t>
        </is>
      </c>
      <c r="C111" s="47" t="inlineStr">
        <is>
          <t>팀장</t>
        </is>
      </c>
      <c r="E111" s="47" t="inlineStr">
        <is>
          <t>본부장</t>
        </is>
      </c>
      <c r="G111" s="47" t="inlineStr">
        <is>
          <t>대표이사</t>
        </is>
      </c>
    </row>
    <row r="112" ht="12" customHeight="1">
      <c r="A112" s="48" t="n"/>
      <c r="C112" s="48" t="n"/>
      <c r="E112" s="48" t="n"/>
      <c r="G112" s="48" t="n"/>
    </row>
    <row r="113" ht="12" customHeight="1">
      <c r="A113" s="48" t="n"/>
      <c r="C113" s="48" t="n"/>
      <c r="E113" s="48" t="n"/>
      <c r="G113" s="48" t="n"/>
    </row>
    <row r="114" ht="12" customHeight="1">
      <c r="A114" s="48" t="n"/>
      <c r="C114" s="48" t="n"/>
      <c r="E114" s="48" t="n"/>
      <c r="G114" s="48" t="n"/>
    </row>
    <row r="115" ht="14" customHeight="1">
      <c r="A115" s="49" t="inlineStr">
        <is>
          <t>(서명)</t>
        </is>
      </c>
      <c r="C115" s="49" t="inlineStr">
        <is>
          <t>(서명)</t>
        </is>
      </c>
      <c r="E115" s="49" t="inlineStr">
        <is>
          <t>(서명)</t>
        </is>
      </c>
      <c r="G115" s="49" t="inlineStr">
        <is>
          <t>(서명)</t>
        </is>
      </c>
    </row>
  </sheetData>
  <mergeCells count="29">
    <mergeCell ref="A108:C108"/>
    <mergeCell ref="C6:D6"/>
    <mergeCell ref="I6:J6"/>
    <mergeCell ref="A8:J8"/>
    <mergeCell ref="E112:F114"/>
    <mergeCell ref="G115:H115"/>
    <mergeCell ref="A17:J17"/>
    <mergeCell ref="C5:D5"/>
    <mergeCell ref="E111:F111"/>
    <mergeCell ref="E5:F5"/>
    <mergeCell ref="A6:B6"/>
    <mergeCell ref="A15"/>
    <mergeCell ref="C112:D114"/>
    <mergeCell ref="G6:H6"/>
    <mergeCell ref="A1:J1"/>
    <mergeCell ref="E6:F6"/>
    <mergeCell ref="G112:H114"/>
    <mergeCell ref="C115:D115"/>
    <mergeCell ref="A5:B5"/>
    <mergeCell ref="G5:H5"/>
    <mergeCell ref="I5:J5"/>
    <mergeCell ref="A3:J3"/>
    <mergeCell ref="A112:B114"/>
    <mergeCell ref="A115:B115"/>
    <mergeCell ref="A111:B111"/>
    <mergeCell ref="E115:F115"/>
    <mergeCell ref="C111:D111"/>
    <mergeCell ref="A2:J2"/>
    <mergeCell ref="G111:H111"/>
  </mergeCells>
  <pageMargins left="0.4" right="0.4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30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16" customWidth="1" min="3" max="3"/>
    <col width="16" customWidth="1" min="4" max="4"/>
    <col width="16" customWidth="1" min="5" max="5"/>
    <col width="12" customWidth="1" min="6" max="6"/>
    <col width="20" customWidth="1" min="7" max="7"/>
  </cols>
  <sheetData>
    <row r="1" ht="32" customHeight="1">
      <c r="A1" s="50" t="inlineStr">
        <is>
          <t>고객사별 매출 분석  —  2026년 7월</t>
        </is>
      </c>
    </row>
    <row r="2" ht="16" customHeight="1">
      <c r="A2" s="3" t="inlineStr">
        <is>
          <t>조이산업(주)  |  기준: 2026년 7월 출하 확정</t>
        </is>
      </c>
    </row>
    <row r="3" ht="8" customHeight="1"/>
    <row r="4" ht="20" customHeight="1">
      <c r="A4" s="9" t="inlineStr">
        <is>
          <t>순위</t>
        </is>
      </c>
      <c r="B4" s="9" t="inlineStr">
        <is>
          <t>고객사명</t>
        </is>
      </c>
      <c r="C4" s="9" t="inlineStr">
        <is>
          <t>매출금액(원)</t>
        </is>
      </c>
      <c r="D4" s="9" t="inlineStr">
        <is>
          <t>출하수량</t>
        </is>
      </c>
      <c r="E4" s="9" t="inlineStr">
        <is>
          <t>품목수</t>
        </is>
      </c>
      <c r="F4" s="9" t="inlineStr">
        <is>
          <t>비중</t>
        </is>
      </c>
      <c r="G4" s="9" t="inlineStr">
        <is>
          <t>비고</t>
        </is>
      </c>
    </row>
    <row r="5" ht="17" customHeight="1">
      <c r="A5" s="10" t="inlineStr">
        <is>
          <t>1</t>
        </is>
      </c>
      <c r="B5" s="11" t="inlineStr">
        <is>
          <t>나라엠텍</t>
        </is>
      </c>
      <c r="C5" s="13" t="n">
        <v>1276181040</v>
      </c>
      <c r="D5" s="12" t="n">
        <v>458020</v>
      </c>
      <c r="E5" s="10" t="n">
        <v>6</v>
      </c>
      <c r="F5" s="51" t="n">
        <v>0.6339795014779691</v>
      </c>
      <c r="G5" s="17" t="inlineStr"/>
    </row>
    <row r="6" ht="17" customHeight="1">
      <c r="A6" s="18" t="inlineStr">
        <is>
          <t>2</t>
        </is>
      </c>
      <c r="B6" s="19" t="inlineStr">
        <is>
          <t>HD현대일렉트릭</t>
        </is>
      </c>
      <c r="C6" s="21" t="n">
        <v>175400462</v>
      </c>
      <c r="D6" s="20" t="n">
        <v>658083</v>
      </c>
      <c r="E6" s="18" t="n">
        <v>69</v>
      </c>
      <c r="F6" s="52" t="n">
        <v>0.08713520572109854</v>
      </c>
      <c r="G6" s="25" t="inlineStr"/>
    </row>
    <row r="7" ht="17" customHeight="1">
      <c r="A7" s="10" t="inlineStr">
        <is>
          <t>3</t>
        </is>
      </c>
      <c r="B7" s="11" t="inlineStr">
        <is>
          <t>LS_ELEC</t>
        </is>
      </c>
      <c r="C7" s="13" t="n">
        <v>112255541</v>
      </c>
      <c r="D7" s="12" t="n">
        <v>12566</v>
      </c>
      <c r="E7" s="10" t="n">
        <v>64</v>
      </c>
      <c r="F7" s="51" t="n">
        <v>0.05576615675258718</v>
      </c>
      <c r="G7" s="17" t="inlineStr"/>
    </row>
    <row r="8" ht="17" customHeight="1">
      <c r="A8" s="18" t="inlineStr">
        <is>
          <t>4</t>
        </is>
      </c>
      <c r="B8" s="19" t="inlineStr">
        <is>
          <t>MCM</t>
        </is>
      </c>
      <c r="C8" s="21" t="n">
        <v>78267520</v>
      </c>
      <c r="D8" s="20" t="n">
        <v>283283</v>
      </c>
      <c r="E8" s="18" t="n">
        <v>10</v>
      </c>
      <c r="F8" s="52" t="n">
        <v>0.03888163337038527</v>
      </c>
      <c r="G8" s="25" t="inlineStr"/>
    </row>
    <row r="9" ht="17" customHeight="1">
      <c r="A9" s="10" t="inlineStr">
        <is>
          <t>5</t>
        </is>
      </c>
      <c r="B9" s="11" t="inlineStr">
        <is>
          <t>새한전자</t>
        </is>
      </c>
      <c r="C9" s="13" t="n">
        <v>72707040</v>
      </c>
      <c r="D9" s="12" t="n">
        <v>194640</v>
      </c>
      <c r="E9" s="10" t="n">
        <v>3</v>
      </c>
      <c r="F9" s="51" t="n">
        <v>0.03611930559095186</v>
      </c>
      <c r="G9" s="17" t="inlineStr"/>
    </row>
    <row r="10" ht="17" customHeight="1">
      <c r="A10" s="18" t="inlineStr">
        <is>
          <t>6</t>
        </is>
      </c>
      <c r="B10" s="19" t="inlineStr">
        <is>
          <t>큐비테크</t>
        </is>
      </c>
      <c r="C10" s="21" t="n">
        <v>60248171</v>
      </c>
      <c r="D10" s="20" t="n">
        <v>207604</v>
      </c>
      <c r="E10" s="18" t="n">
        <v>16</v>
      </c>
      <c r="F10" s="52" t="n">
        <v>0.02993000539761932</v>
      </c>
      <c r="G10" s="25" t="inlineStr"/>
    </row>
    <row r="11" ht="17" customHeight="1">
      <c r="A11" s="10" t="inlineStr">
        <is>
          <t>7</t>
        </is>
      </c>
      <c r="B11" s="11" t="inlineStr">
        <is>
          <t>승림전자</t>
        </is>
      </c>
      <c r="C11" s="13" t="n">
        <v>40517740</v>
      </c>
      <c r="D11" s="12" t="n">
        <v>277480</v>
      </c>
      <c r="E11" s="10" t="n">
        <v>16</v>
      </c>
      <c r="F11" s="51" t="n">
        <v>0.020128348409105</v>
      </c>
      <c r="G11" s="17" t="inlineStr"/>
    </row>
    <row r="12" ht="17" customHeight="1">
      <c r="A12" s="18" t="inlineStr">
        <is>
          <t>8</t>
        </is>
      </c>
      <c r="B12" s="19" t="inlineStr">
        <is>
          <t>대신정밀</t>
        </is>
      </c>
      <c r="C12" s="21" t="n">
        <v>38341861</v>
      </c>
      <c r="D12" s="20" t="n">
        <v>15069</v>
      </c>
      <c r="E12" s="18" t="n">
        <v>9</v>
      </c>
      <c r="F12" s="52" t="n">
        <v>0.01904741816452436</v>
      </c>
      <c r="G12" s="25" t="inlineStr"/>
    </row>
    <row r="13" ht="17" customHeight="1">
      <c r="A13" s="10" t="inlineStr">
        <is>
          <t>9</t>
        </is>
      </c>
      <c r="B13" s="11" t="inlineStr">
        <is>
          <t>대양기업</t>
        </is>
      </c>
      <c r="C13" s="13" t="n">
        <v>36168000</v>
      </c>
      <c r="D13" s="12" t="n">
        <v>812000</v>
      </c>
      <c r="E13" s="10" t="n">
        <v>6</v>
      </c>
      <c r="F13" s="51" t="n">
        <v>0.01796749041927091</v>
      </c>
      <c r="G13" s="17" t="inlineStr"/>
    </row>
    <row r="14" ht="17" customHeight="1">
      <c r="A14" s="18" t="inlineStr">
        <is>
          <t>10</t>
        </is>
      </c>
      <c r="B14" s="19" t="inlineStr">
        <is>
          <t>성신산전</t>
        </is>
      </c>
      <c r="C14" s="21" t="n">
        <v>21195563</v>
      </c>
      <c r="D14" s="20" t="n">
        <v>10122</v>
      </c>
      <c r="E14" s="18" t="n">
        <v>13</v>
      </c>
      <c r="F14" s="52" t="n">
        <v>0.01052950329389386</v>
      </c>
      <c r="G14" s="25" t="inlineStr"/>
    </row>
    <row r="15" ht="17" customHeight="1">
      <c r="A15" s="10" t="inlineStr">
        <is>
          <t>11</t>
        </is>
      </c>
      <c r="B15" s="11" t="inlineStr">
        <is>
          <t>유니메드제약</t>
        </is>
      </c>
      <c r="C15" s="13" t="n">
        <v>14300000</v>
      </c>
      <c r="D15" s="12" t="n">
        <v>250000</v>
      </c>
      <c r="E15" s="10" t="n">
        <v>2</v>
      </c>
      <c r="F15" s="51" t="n">
        <v>0.007103934776475726</v>
      </c>
      <c r="G15" s="17" t="inlineStr"/>
    </row>
    <row r="16" ht="17" customHeight="1">
      <c r="A16" s="18" t="inlineStr">
        <is>
          <t>12</t>
        </is>
      </c>
      <c r="B16" s="19" t="inlineStr">
        <is>
          <t>성신산전, 하이베로</t>
        </is>
      </c>
      <c r="C16" s="21" t="n">
        <v>14114436</v>
      </c>
      <c r="D16" s="20" t="n">
        <v>14369</v>
      </c>
      <c r="E16" s="18" t="n">
        <v>11</v>
      </c>
      <c r="F16" s="52" t="n">
        <v>0.007011750542009855</v>
      </c>
      <c r="G16" s="25" t="inlineStr"/>
    </row>
    <row r="17" ht="17" customHeight="1">
      <c r="A17" s="10" t="inlineStr">
        <is>
          <t>13</t>
        </is>
      </c>
      <c r="B17" s="11" t="inlineStr">
        <is>
          <t>(주)대양</t>
        </is>
      </c>
      <c r="C17" s="13" t="n">
        <v>13728000</v>
      </c>
      <c r="D17" s="12" t="n">
        <v>312000</v>
      </c>
      <c r="E17" s="10" t="n">
        <v>2</v>
      </c>
      <c r="F17" s="51" t="n">
        <v>0.006819777385416697</v>
      </c>
      <c r="G17" s="17" t="inlineStr"/>
    </row>
    <row r="18" ht="17" customHeight="1">
      <c r="A18" s="18" t="inlineStr">
        <is>
          <t>14</t>
        </is>
      </c>
      <c r="B18" s="19" t="inlineStr">
        <is>
          <t>산전정밀</t>
        </is>
      </c>
      <c r="C18" s="21" t="n">
        <v>11063557</v>
      </c>
      <c r="D18" s="20" t="n">
        <v>3353</v>
      </c>
      <c r="E18" s="18" t="n">
        <v>4</v>
      </c>
      <c r="F18" s="52" t="n">
        <v>0.005496138973693807</v>
      </c>
      <c r="G18" s="25" t="inlineStr"/>
    </row>
    <row r="19" ht="17" customHeight="1">
      <c r="A19" s="10" t="inlineStr">
        <is>
          <t>15</t>
        </is>
      </c>
      <c r="B19" s="11" t="inlineStr">
        <is>
          <t>비에스아이에스</t>
        </is>
      </c>
      <c r="C19" s="13" t="n">
        <v>10763896</v>
      </c>
      <c r="D19" s="12" t="n">
        <v>794</v>
      </c>
      <c r="E19" s="10" t="n">
        <v>4</v>
      </c>
      <c r="F19" s="51" t="n">
        <v>0.005347273784948808</v>
      </c>
      <c r="G19" s="17" t="inlineStr"/>
    </row>
    <row r="20" ht="17" customHeight="1">
      <c r="A20" s="18" t="inlineStr">
        <is>
          <t>16</t>
        </is>
      </c>
      <c r="B20" s="19" t="inlineStr">
        <is>
          <t>H,R TECH</t>
        </is>
      </c>
      <c r="C20" s="21" t="n">
        <v>7546000</v>
      </c>
      <c r="D20" s="20" t="n">
        <v>11000</v>
      </c>
      <c r="E20" s="18" t="n">
        <v>2</v>
      </c>
      <c r="F20" s="52" t="n">
        <v>0.003748691735894114</v>
      </c>
      <c r="G20" s="25" t="inlineStr"/>
    </row>
    <row r="21" ht="17" customHeight="1">
      <c r="A21" s="10" t="inlineStr">
        <is>
          <t>17</t>
        </is>
      </c>
      <c r="B21" s="11" t="inlineStr">
        <is>
          <t>케이엠데이타</t>
        </is>
      </c>
      <c r="C21" s="13" t="n">
        <v>6964200</v>
      </c>
      <c r="D21" s="12" t="n">
        <v>15740</v>
      </c>
      <c r="E21" s="10" t="n">
        <v>7</v>
      </c>
      <c r="F21" s="51" t="n">
        <v>0.003459665914009248</v>
      </c>
      <c r="G21" s="17" t="inlineStr"/>
    </row>
    <row r="22" ht="17" customHeight="1">
      <c r="A22" s="18" t="inlineStr">
        <is>
          <t>18</t>
        </is>
      </c>
      <c r="B22" s="19" t="inlineStr">
        <is>
          <t>노바스이지</t>
        </is>
      </c>
      <c r="C22" s="21" t="n">
        <v>6206592</v>
      </c>
      <c r="D22" s="20" t="n">
        <v>8816</v>
      </c>
      <c r="E22" s="18" t="n">
        <v>3</v>
      </c>
      <c r="F22" s="52" t="n">
        <v>0.003083302430223498</v>
      </c>
      <c r="G22" s="25" t="inlineStr"/>
    </row>
    <row r="23" ht="17" customHeight="1">
      <c r="A23" s="10" t="inlineStr">
        <is>
          <t>19</t>
        </is>
      </c>
      <c r="B23" s="11" t="inlineStr">
        <is>
          <t>신현기전</t>
        </is>
      </c>
      <c r="C23" s="13" t="n">
        <v>2381400</v>
      </c>
      <c r="D23" s="12" t="n">
        <v>6375</v>
      </c>
      <c r="E23" s="10" t="n">
        <v>4</v>
      </c>
      <c r="F23" s="51" t="n">
        <v>0.001183028690678272</v>
      </c>
      <c r="G23" s="17" t="inlineStr"/>
    </row>
    <row r="24" ht="17" customHeight="1">
      <c r="A24" s="18" t="inlineStr">
        <is>
          <t>20</t>
        </is>
      </c>
      <c r="B24" s="19" t="inlineStr">
        <is>
          <t>트윈테크</t>
        </is>
      </c>
      <c r="C24" s="21" t="n">
        <v>2165196</v>
      </c>
      <c r="D24" s="20" t="n">
        <v>4353</v>
      </c>
      <c r="E24" s="18" t="n">
        <v>2</v>
      </c>
      <c r="F24" s="52" t="n">
        <v>0.001075623158201828</v>
      </c>
      <c r="G24" s="25" t="inlineStr"/>
    </row>
    <row r="25" ht="17" customHeight="1">
      <c r="A25" s="10" t="inlineStr">
        <is>
          <t>21</t>
        </is>
      </c>
      <c r="B25" s="11" t="inlineStr">
        <is>
          <t>신웅 이엠씨</t>
        </is>
      </c>
      <c r="C25" s="13" t="n">
        <v>2037000</v>
      </c>
      <c r="D25" s="12" t="n">
        <v>3000</v>
      </c>
      <c r="E25" s="10" t="n">
        <v>1</v>
      </c>
      <c r="F25" s="51" t="n">
        <v>0.001011938121656018</v>
      </c>
      <c r="G25" s="17" t="inlineStr"/>
    </row>
    <row r="26" ht="17" customHeight="1">
      <c r="A26" s="18" t="inlineStr">
        <is>
          <t>22</t>
        </is>
      </c>
      <c r="B26" s="19" t="inlineStr">
        <is>
          <t>기타</t>
        </is>
      </c>
      <c r="C26" s="21" t="n">
        <v>1648000</v>
      </c>
      <c r="D26" s="20" t="n">
        <v>4000</v>
      </c>
      <c r="E26" s="18" t="n">
        <v>1</v>
      </c>
      <c r="F26" s="52" t="n">
        <v>0.00081869122458965</v>
      </c>
      <c r="G26" s="25" t="inlineStr"/>
    </row>
    <row r="27" ht="17" customHeight="1">
      <c r="A27" s="10" t="inlineStr">
        <is>
          <t>23</t>
        </is>
      </c>
      <c r="B27" s="11" t="inlineStr">
        <is>
          <t>HR TECH</t>
        </is>
      </c>
      <c r="C27" s="13" t="n">
        <v>1540200</v>
      </c>
      <c r="D27" s="12" t="n">
        <v>6000</v>
      </c>
      <c r="E27" s="10" t="n">
        <v>1</v>
      </c>
      <c r="F27" s="51" t="n">
        <v>0.0007651384855054484</v>
      </c>
      <c r="G27" s="17" t="inlineStr"/>
    </row>
    <row r="28" ht="17" customHeight="1">
      <c r="A28" s="18" t="inlineStr">
        <is>
          <t>24</t>
        </is>
      </c>
      <c r="B28" s="19" t="inlineStr">
        <is>
          <t>성신산전, 대신정밀</t>
        </is>
      </c>
      <c r="C28" s="21" t="n">
        <v>1495476</v>
      </c>
      <c r="D28" s="20" t="n">
        <v>1941</v>
      </c>
      <c r="E28" s="18" t="n">
        <v>1</v>
      </c>
      <c r="F28" s="52" t="n">
        <v>0.0007429205569080288</v>
      </c>
      <c r="G28" s="25" t="inlineStr"/>
    </row>
    <row r="29" ht="17" customHeight="1">
      <c r="A29" s="10" t="inlineStr">
        <is>
          <t>25</t>
        </is>
      </c>
      <c r="B29" s="11" t="inlineStr">
        <is>
          <t>동우이엠피</t>
        </is>
      </c>
      <c r="C29" s="13" t="n">
        <v>1401540</v>
      </c>
      <c r="D29" s="12" t="n">
        <v>6674</v>
      </c>
      <c r="E29" s="10" t="n">
        <v>2</v>
      </c>
      <c r="F29" s="51" t="n">
        <v>0.0006962551571064188</v>
      </c>
      <c r="G29" s="17" t="inlineStr"/>
    </row>
    <row r="30" ht="17" customHeight="1">
      <c r="A30" s="18" t="inlineStr">
        <is>
          <t>26</t>
        </is>
      </c>
      <c r="B30" s="19" t="inlineStr">
        <is>
          <t>신성폴리테크</t>
        </is>
      </c>
      <c r="C30" s="21" t="n">
        <v>1230000</v>
      </c>
      <c r="D30" s="20" t="n">
        <v>30000</v>
      </c>
      <c r="E30" s="18" t="n">
        <v>1</v>
      </c>
      <c r="F30" s="52" t="n">
        <v>0.0006110377465080519</v>
      </c>
      <c r="G30" s="25" t="inlineStr"/>
    </row>
    <row r="31" ht="17" customHeight="1">
      <c r="A31" s="10" t="inlineStr">
        <is>
          <t>27</t>
        </is>
      </c>
      <c r="B31" s="11" t="inlineStr">
        <is>
          <t>SH TECH</t>
        </is>
      </c>
      <c r="C31" s="13" t="n">
        <v>1000000</v>
      </c>
      <c r="D31" s="12" t="n">
        <v>4000</v>
      </c>
      <c r="E31" s="10" t="n">
        <v>1</v>
      </c>
      <c r="F31" s="51" t="n">
        <v>0.0004967786556976032</v>
      </c>
      <c r="G31" s="17" t="inlineStr"/>
    </row>
    <row r="32" ht="17" customHeight="1">
      <c r="A32" s="18" t="inlineStr">
        <is>
          <t>28</t>
        </is>
      </c>
      <c r="B32" s="19" t="inlineStr">
        <is>
          <t>우림월드</t>
        </is>
      </c>
      <c r="C32" s="21" t="n">
        <v>766500</v>
      </c>
      <c r="D32" s="20" t="n">
        <v>2625</v>
      </c>
      <c r="E32" s="18" t="n">
        <v>1</v>
      </c>
      <c r="F32" s="52" t="n">
        <v>0.0003807808395922129</v>
      </c>
      <c r="G32" s="25" t="inlineStr"/>
    </row>
    <row r="33" ht="17" customHeight="1">
      <c r="A33" s="10" t="inlineStr">
        <is>
          <t>29</t>
        </is>
      </c>
      <c r="B33" s="11" t="inlineStr">
        <is>
          <t>성신산전, 산전정밀</t>
        </is>
      </c>
      <c r="C33" s="13" t="n">
        <v>685976</v>
      </c>
      <c r="D33" s="12" t="n">
        <v>4223</v>
      </c>
      <c r="E33" s="10" t="n">
        <v>3</v>
      </c>
      <c r="F33" s="51" t="n">
        <v>0.0003407782351208191</v>
      </c>
      <c r="G33" s="17" t="inlineStr"/>
    </row>
    <row r="34" ht="17" customHeight="1">
      <c r="A34" s="18" t="inlineStr">
        <is>
          <t>30</t>
        </is>
      </c>
      <c r="B34" s="19" t="inlineStr">
        <is>
          <t>신흥전자</t>
        </is>
      </c>
      <c r="C34" s="21" t="n">
        <v>648025</v>
      </c>
      <c r="D34" s="20" t="n">
        <v>50</v>
      </c>
      <c r="E34" s="18" t="n">
        <v>2</v>
      </c>
      <c r="F34" s="52" t="n">
        <v>0.0003219249883584393</v>
      </c>
      <c r="G34" s="25" t="inlineStr"/>
    </row>
    <row r="35" ht="20" customHeight="1">
      <c r="A35" s="26" t="inlineStr">
        <is>
          <t>합  계</t>
        </is>
      </c>
      <c r="C35" s="27">
        <f>SUM(C5:C34)</f>
        <v/>
      </c>
      <c r="D35" s="27">
        <f>SUM(D5:D34)</f>
        <v/>
      </c>
      <c r="E35" s="27">
        <f>SUM(E5:E34)</f>
        <v/>
      </c>
      <c r="F35" s="28" t="n">
        <v>1</v>
      </c>
    </row>
    <row r="37" ht="20" customHeight="1">
      <c r="A37" s="29" t="inlineStr">
        <is>
          <t>■  고객사별 품목 상세</t>
        </is>
      </c>
    </row>
    <row r="38" ht="20" customHeight="1">
      <c r="A38" s="30" t="inlineStr">
        <is>
          <t>고객사명</t>
        </is>
      </c>
      <c r="B38" s="30" t="inlineStr">
        <is>
          <t>품번</t>
        </is>
      </c>
      <c r="C38" s="30" t="inlineStr">
        <is>
          <t>품명</t>
        </is>
      </c>
      <c r="D38" s="30" t="inlineStr">
        <is>
          <t>출하수량</t>
        </is>
      </c>
      <c r="E38" s="30" t="inlineStr">
        <is>
          <t>매출금액(원)</t>
        </is>
      </c>
      <c r="F38" s="30" t="inlineStr">
        <is>
          <t>손익(원)</t>
        </is>
      </c>
      <c r="G38" s="30" t="inlineStr">
        <is>
          <t>비고</t>
        </is>
      </c>
    </row>
    <row r="39" ht="17" customHeight="1">
      <c r="A39" s="31" t="inlineStr">
        <is>
          <t>나라엠텍</t>
        </is>
      </c>
      <c r="B39" s="32" t="inlineStr">
        <is>
          <t>NM-007</t>
        </is>
      </c>
      <c r="C39" s="33" t="inlineStr">
        <is>
          <t>JF2 SUPPORT BRACKET</t>
        </is>
      </c>
      <c r="D39" s="34" t="n">
        <v>30304</v>
      </c>
      <c r="E39" s="35" t="n">
        <v>872755200</v>
      </c>
      <c r="F39" s="36" t="n">
        <v>872755200</v>
      </c>
      <c r="G39" s="33" t="inlineStr"/>
    </row>
    <row r="40" ht="17" customHeight="1">
      <c r="A40" s="38" t="inlineStr"/>
      <c r="B40" s="32" t="inlineStr">
        <is>
          <t>NM-003</t>
        </is>
      </c>
      <c r="C40" s="33" t="inlineStr">
        <is>
          <t>JF2 BUSBAR LD #3</t>
        </is>
      </c>
      <c r="D40" s="34" t="n">
        <v>42240</v>
      </c>
      <c r="E40" s="35" t="n">
        <v>153331200</v>
      </c>
      <c r="F40" s="36" t="n">
        <v>153331200</v>
      </c>
      <c r="G40" s="33" t="inlineStr"/>
    </row>
    <row r="41" ht="17" customHeight="1">
      <c r="A41" s="38" t="inlineStr"/>
      <c r="B41" s="32" t="inlineStr">
        <is>
          <t>NM-005</t>
        </is>
      </c>
      <c r="C41" s="33" t="inlineStr">
        <is>
          <t>JF2 BUSBAR RD #3</t>
        </is>
      </c>
      <c r="D41" s="34" t="n">
        <v>42240</v>
      </c>
      <c r="E41" s="35" t="n">
        <v>150796800</v>
      </c>
      <c r="F41" s="36" t="n">
        <v>150796800</v>
      </c>
      <c r="G41" s="33" t="inlineStr"/>
    </row>
    <row r="42" ht="17" customHeight="1">
      <c r="A42" s="38" t="inlineStr"/>
      <c r="B42" s="32" t="inlineStr">
        <is>
          <t>IDC-UPS</t>
        </is>
      </c>
      <c r="C42" s="33" t="inlineStr">
        <is>
          <t>THERMAL BARRIER</t>
        </is>
      </c>
      <c r="D42" s="34" t="n">
        <v>44400</v>
      </c>
      <c r="E42" s="35" t="n">
        <v>63714000</v>
      </c>
      <c r="F42" s="36" t="n">
        <v>5994000</v>
      </c>
      <c r="G42" s="33" t="inlineStr"/>
    </row>
    <row r="43" ht="17" customHeight="1">
      <c r="A43" s="38" t="inlineStr"/>
      <c r="B43" s="32" t="inlineStr">
        <is>
          <t>NM-001</t>
        </is>
      </c>
      <c r="C43" s="33" t="inlineStr">
        <is>
          <t>JH4 CARTRIDGE</t>
        </is>
      </c>
      <c r="D43" s="34" t="n">
        <v>20736</v>
      </c>
      <c r="E43" s="35" t="n">
        <v>20010240</v>
      </c>
      <c r="F43" s="36" t="n">
        <v>20010240</v>
      </c>
      <c r="G43" s="33" t="inlineStr"/>
    </row>
    <row r="44" ht="17" customHeight="1">
      <c r="A44" s="38" t="inlineStr"/>
      <c r="B44" s="32" t="inlineStr">
        <is>
          <t>NM-009</t>
        </is>
      </c>
      <c r="C44" s="33" t="inlineStr">
        <is>
          <t>THERMISTOR BRIDGE</t>
        </is>
      </c>
      <c r="D44" s="34" t="n">
        <v>278100</v>
      </c>
      <c r="E44" s="35" t="n">
        <v>15573600</v>
      </c>
      <c r="F44" s="36" t="n">
        <v>15573600</v>
      </c>
      <c r="G44" s="33" t="inlineStr"/>
    </row>
    <row r="45" ht="17" customHeight="1">
      <c r="A45" s="39" t="inlineStr">
        <is>
          <t>HD현대일렉트릭</t>
        </is>
      </c>
      <c r="B45" s="40" t="inlineStr">
        <is>
          <t>GC1-AS-0100</t>
        </is>
      </c>
      <c r="C45" s="41" t="inlineStr">
        <is>
          <t>3P SPARE PART ASS"Y HGM100</t>
        </is>
      </c>
      <c r="D45" s="42" t="n">
        <v>32400</v>
      </c>
      <c r="E45" s="43" t="n">
        <v>19472400</v>
      </c>
      <c r="F45" s="44" t="n">
        <v>19472400</v>
      </c>
      <c r="G45" s="41" t="inlineStr"/>
    </row>
    <row r="46" ht="17" customHeight="1">
      <c r="A46" s="46" t="inlineStr"/>
      <c r="B46" s="40" t="inlineStr">
        <is>
          <t>GC1-MO-0026</t>
        </is>
      </c>
      <c r="C46" s="41" t="inlineStr">
        <is>
          <t>HGM100 INTERPOLE BARRIER(제품)</t>
        </is>
      </c>
      <c r="D46" s="42" t="n">
        <v>130000</v>
      </c>
      <c r="E46" s="43" t="n">
        <v>15600000</v>
      </c>
      <c r="F46" s="44" t="n">
        <v>6500000</v>
      </c>
      <c r="G46" s="41" t="inlineStr"/>
    </row>
    <row r="47" ht="17" customHeight="1">
      <c r="A47" s="46" t="inlineStr"/>
      <c r="B47" s="40" t="inlineStr">
        <is>
          <t>GC1-AS-0063</t>
        </is>
      </c>
      <c r="C47" s="41" t="inlineStr">
        <is>
          <t>ADJ KNOB ASS"Y HGM100</t>
        </is>
      </c>
      <c r="D47" s="42" t="n">
        <v>102000</v>
      </c>
      <c r="E47" s="43" t="n">
        <v>13260000</v>
      </c>
      <c r="F47" s="44" t="n">
        <v>2040000</v>
      </c>
      <c r="G47" s="41" t="inlineStr"/>
    </row>
    <row r="48" ht="17" customHeight="1">
      <c r="A48" s="46" t="inlineStr"/>
      <c r="B48" s="40" t="inlineStr">
        <is>
          <t>GC3-AS-0066</t>
        </is>
      </c>
      <c r="C48" s="41" t="inlineStr">
        <is>
          <t>3P SPARE PART ASS"Y HGM250</t>
        </is>
      </c>
      <c r="D48" s="42" t="n">
        <v>14200</v>
      </c>
      <c r="E48" s="43" t="n">
        <v>11956400</v>
      </c>
      <c r="F48" s="44" t="n">
        <v>10863000</v>
      </c>
      <c r="G48" s="41" t="inlineStr"/>
    </row>
    <row r="49" ht="17" customHeight="1">
      <c r="A49" s="46" t="inlineStr"/>
      <c r="B49" s="40" t="inlineStr">
        <is>
          <t>GC1-AS-0097</t>
        </is>
      </c>
      <c r="C49" s="41" t="inlineStr">
        <is>
          <t>3P SPARE PART ASS"Y (15A~50A) HGM100</t>
        </is>
      </c>
      <c r="D49" s="42" t="n">
        <v>18250</v>
      </c>
      <c r="E49" s="43" t="n">
        <v>10402500</v>
      </c>
      <c r="F49" s="44" t="n">
        <v>10402500</v>
      </c>
      <c r="G49" s="41" t="inlineStr"/>
    </row>
    <row r="50" ht="17" customHeight="1">
      <c r="A50" s="46" t="inlineStr"/>
      <c r="B50" s="40" t="inlineStr">
        <is>
          <t>GC3-AS-0067</t>
        </is>
      </c>
      <c r="C50" s="41" t="inlineStr">
        <is>
          <t>4P SPARE PART ASS"Y HGM250</t>
        </is>
      </c>
      <c r="D50" s="42" t="n">
        <v>8600</v>
      </c>
      <c r="E50" s="43" t="n">
        <v>10070600</v>
      </c>
      <c r="F50" s="44" t="n">
        <v>9408400</v>
      </c>
      <c r="G50" s="41" t="inlineStr"/>
    </row>
    <row r="51" ht="17" customHeight="1">
      <c r="A51" s="46" t="inlineStr"/>
      <c r="B51" s="40" t="inlineStr">
        <is>
          <t>3AT-05603-001</t>
        </is>
      </c>
      <c r="C51" s="41" t="inlineStr">
        <is>
          <t>HG FRONT COVER 20 HG</t>
        </is>
      </c>
      <c r="D51" s="42" t="n">
        <v>1376</v>
      </c>
      <c r="E51" s="43" t="n">
        <v>9919584</v>
      </c>
      <c r="F51" s="44" t="n">
        <v>9919584</v>
      </c>
      <c r="G51" s="41" t="inlineStr"/>
    </row>
    <row r="52" ht="17" customHeight="1">
      <c r="A52" s="46" t="inlineStr"/>
      <c r="B52" s="40" t="inlineStr">
        <is>
          <t>GC1-AS-0101</t>
        </is>
      </c>
      <c r="C52" s="41" t="inlineStr">
        <is>
          <t>4P SPARE PART ASS"Y HGM100</t>
        </is>
      </c>
      <c r="D52" s="42" t="n">
        <v>10500</v>
      </c>
      <c r="E52" s="43" t="n">
        <v>8746500</v>
      </c>
      <c r="F52" s="44" t="n">
        <v>8746500</v>
      </c>
      <c r="G52" s="41" t="inlineStr"/>
    </row>
    <row r="53" ht="17" customHeight="1">
      <c r="A53" s="46" t="inlineStr"/>
      <c r="B53" s="40" t="inlineStr">
        <is>
          <t>GC1-AS-0098</t>
        </is>
      </c>
      <c r="C53" s="41" t="inlineStr">
        <is>
          <t>4P SPARE PART ASS"Y (15A~50A) HGM100</t>
        </is>
      </c>
      <c r="D53" s="42" t="n">
        <v>9750</v>
      </c>
      <c r="E53" s="43" t="n">
        <v>7722000</v>
      </c>
      <c r="F53" s="44" t="n">
        <v>7722000</v>
      </c>
      <c r="G53" s="41" t="inlineStr"/>
    </row>
    <row r="54" ht="17" customHeight="1">
      <c r="A54" s="46" t="inlineStr"/>
      <c r="B54" s="40" t="inlineStr">
        <is>
          <t>3AT-05604-001</t>
        </is>
      </c>
      <c r="C54" s="41" t="inlineStr">
        <is>
          <t>HG FRONT COVER 40 HG</t>
        </is>
      </c>
      <c r="D54" s="42" t="n">
        <v>992</v>
      </c>
      <c r="E54" s="43" t="n">
        <v>7592768</v>
      </c>
      <c r="F54" s="44" t="n">
        <v>7592768</v>
      </c>
      <c r="G54" s="41" t="inlineStr"/>
    </row>
    <row r="55" ht="17" customHeight="1">
      <c r="A55" s="46" t="inlineStr"/>
      <c r="B55" s="40" t="inlineStr">
        <is>
          <t>GC3-MO-0017</t>
        </is>
      </c>
      <c r="C55" s="41" t="inlineStr">
        <is>
          <t>HGM250 INTERPOLE BARRIER</t>
        </is>
      </c>
      <c r="D55" s="42" t="n">
        <v>58000</v>
      </c>
      <c r="E55" s="43" t="n">
        <v>7540000</v>
      </c>
      <c r="F55" s="44" t="n">
        <v>2900000</v>
      </c>
      <c r="G55" s="41" t="inlineStr"/>
    </row>
    <row r="56" ht="17" customHeight="1">
      <c r="A56" s="46" t="inlineStr"/>
      <c r="B56" s="40" t="inlineStr">
        <is>
          <t>GC2-MO-0026</t>
        </is>
      </c>
      <c r="C56" s="41" t="inlineStr">
        <is>
          <t>ADJ SUB TRIP SHAFT HGM125</t>
        </is>
      </c>
      <c r="D56" s="42" t="n">
        <v>38000</v>
      </c>
      <c r="E56" s="43" t="n">
        <v>3724000</v>
      </c>
      <c r="F56" s="44" t="n">
        <v>494000</v>
      </c>
      <c r="G56" s="41" t="inlineStr"/>
    </row>
    <row r="57" ht="17" customHeight="1">
      <c r="A57" s="46" t="inlineStr"/>
      <c r="B57" s="40" t="inlineStr">
        <is>
          <t>GC3-MO-0021-001</t>
        </is>
      </c>
      <c r="C57" s="41" t="inlineStr">
        <is>
          <t>ADJ SUB TRIP_SHAFT HGM250</t>
        </is>
      </c>
      <c r="D57" s="42" t="n">
        <v>20000</v>
      </c>
      <c r="E57" s="43" t="n">
        <v>3600000</v>
      </c>
      <c r="F57" s="44" t="n">
        <v>1600000</v>
      </c>
      <c r="G57" s="41" t="inlineStr"/>
    </row>
    <row r="58" ht="17" customHeight="1">
      <c r="A58" s="46" t="inlineStr"/>
      <c r="B58" s="40" t="inlineStr">
        <is>
          <t>3AT-03432</t>
        </is>
      </c>
      <c r="C58" s="41" t="inlineStr">
        <is>
          <t>U-OCR PROTECTION COVER</t>
        </is>
      </c>
      <c r="D58" s="42" t="n">
        <v>16500</v>
      </c>
      <c r="E58" s="43" t="n">
        <v>3564000</v>
      </c>
      <c r="F58" s="44" t="n">
        <v>594000</v>
      </c>
      <c r="G58" s="41" t="inlineStr"/>
    </row>
    <row r="59" ht="17" customHeight="1">
      <c r="A59" s="46" t="inlineStr"/>
      <c r="B59" s="40" t="inlineStr">
        <is>
          <t>3CE-31012</t>
        </is>
      </c>
      <c r="C59" s="41" t="inlineStr">
        <is>
          <t>FRONT COVER ASS"Y (DRAW)</t>
        </is>
      </c>
      <c r="D59" s="42" t="n">
        <v>109</v>
      </c>
      <c r="E59" s="43" t="n">
        <v>3041100</v>
      </c>
      <c r="F59" s="44" t="n">
        <v>3041100</v>
      </c>
      <c r="G59" s="41" t="inlineStr"/>
    </row>
    <row r="60" ht="17" customHeight="1">
      <c r="A60" s="46" t="inlineStr"/>
      <c r="B60" s="40" t="inlineStr">
        <is>
          <t>55113460001</t>
        </is>
      </c>
      <c r="C60" s="41" t="inlineStr">
        <is>
          <t>GUIDE , BUTTON , RESET</t>
        </is>
      </c>
      <c r="D60" s="42" t="n">
        <v>19000</v>
      </c>
      <c r="E60" s="43" t="n">
        <v>2850000</v>
      </c>
      <c r="F60" s="44" t="n">
        <v>2850000</v>
      </c>
      <c r="G60" s="41" t="inlineStr"/>
    </row>
    <row r="61" ht="17" customHeight="1">
      <c r="A61" s="46" t="inlineStr"/>
      <c r="B61" s="40" t="inlineStr">
        <is>
          <t>9216001818</t>
        </is>
      </c>
      <c r="C61" s="41" t="inlineStr">
        <is>
          <t>MCCB ACCY(STOP MAKE) GP1_AS_0001 3P_SPARE PART ASS'Y HGP160D MCCB SPARE</t>
        </is>
      </c>
      <c r="D61" s="42" t="n">
        <v>2300</v>
      </c>
      <c r="E61" s="43" t="n">
        <v>2771500</v>
      </c>
      <c r="F61" s="44" t="n">
        <v>2771500</v>
      </c>
      <c r="G61" s="41" t="inlineStr"/>
    </row>
    <row r="62" ht="17" customHeight="1">
      <c r="A62" s="46" t="inlineStr"/>
      <c r="B62" s="40" t="inlineStr">
        <is>
          <t>GP1-AS-0001</t>
        </is>
      </c>
      <c r="C62" s="41" t="inlineStr">
        <is>
          <t>HGP160 3P SPARE PART ASS"Y</t>
        </is>
      </c>
      <c r="D62" s="42" t="n">
        <v>2100</v>
      </c>
      <c r="E62" s="43" t="n">
        <v>2530500</v>
      </c>
      <c r="F62" s="44" t="n">
        <v>2368800</v>
      </c>
      <c r="G62" s="41" t="inlineStr"/>
    </row>
    <row r="63" ht="17" customHeight="1">
      <c r="A63" s="46" t="inlineStr"/>
      <c r="B63" s="40" t="inlineStr">
        <is>
          <t>GM3-MO-0201</t>
        </is>
      </c>
      <c r="C63" s="41" t="inlineStr">
        <is>
          <t>HGC65 FRAME</t>
        </is>
      </c>
      <c r="D63" s="42" t="n">
        <v>4555</v>
      </c>
      <c r="E63" s="43" t="n">
        <v>2505250</v>
      </c>
      <c r="F63" s="44" t="n">
        <v>2505250</v>
      </c>
      <c r="G63" s="41" t="inlineStr"/>
    </row>
    <row r="64" ht="17" customHeight="1">
      <c r="A64" s="46" t="inlineStr"/>
      <c r="B64" s="40" t="inlineStr">
        <is>
          <t>GC1-AS-0096</t>
        </is>
      </c>
      <c r="C64" s="41" t="inlineStr">
        <is>
          <t>2P SPARE PART ASS"Y (15A~50A) HGM100</t>
        </is>
      </c>
      <c r="D64" s="42" t="n">
        <v>6000</v>
      </c>
      <c r="E64" s="43" t="n">
        <v>2442000</v>
      </c>
      <c r="F64" s="44" t="n">
        <v>2442000</v>
      </c>
      <c r="G64" s="41" t="inlineStr"/>
    </row>
    <row r="65" ht="17" customHeight="1">
      <c r="A65" s="46" t="inlineStr"/>
      <c r="B65" s="40" t="inlineStr">
        <is>
          <t>4ME-09531</t>
        </is>
      </c>
      <c r="C65" s="41" t="inlineStr">
        <is>
          <t>INTERPOLE BARRIER(25GP)</t>
        </is>
      </c>
      <c r="D65" s="42" t="n">
        <v>16800</v>
      </c>
      <c r="E65" s="43" t="n">
        <v>2184000</v>
      </c>
      <c r="F65" s="44" t="n">
        <v>840000</v>
      </c>
      <c r="G65" s="41" t="inlineStr"/>
    </row>
    <row r="66" ht="17" customHeight="1">
      <c r="A66" s="46" t="inlineStr"/>
      <c r="B66" s="40" t="inlineStr">
        <is>
          <t>GC1-MO-0057</t>
        </is>
      </c>
      <c r="C66" s="41" t="inlineStr">
        <is>
          <t>ADJ SUB TRIP SHAFT (40A~100A) HGM100</t>
        </is>
      </c>
      <c r="D66" s="42" t="n">
        <v>22000</v>
      </c>
      <c r="E66" s="43" t="n">
        <v>2156000</v>
      </c>
      <c r="F66" s="44" t="n">
        <v>843500</v>
      </c>
      <c r="G66" s="41" t="inlineStr"/>
    </row>
    <row r="67" ht="17" customHeight="1">
      <c r="A67" s="46" t="inlineStr"/>
      <c r="B67" s="40" t="inlineStr">
        <is>
          <t>GC1-MO-0031</t>
        </is>
      </c>
      <c r="C67" s="41" t="inlineStr">
        <is>
          <t>ADJ SUB TRIP SHAFT HGM100</t>
        </is>
      </c>
      <c r="D67" s="42" t="n">
        <v>22000</v>
      </c>
      <c r="E67" s="43" t="n">
        <v>1892000</v>
      </c>
      <c r="F67" s="44" t="n">
        <v>242000</v>
      </c>
      <c r="G67" s="41" t="inlineStr"/>
    </row>
    <row r="68" ht="17" customHeight="1">
      <c r="A68" s="46" t="inlineStr"/>
      <c r="B68" s="40" t="inlineStr">
        <is>
          <t>GI1-MO-0014-001</t>
        </is>
      </c>
      <c r="C68" s="41" t="inlineStr"/>
      <c r="D68" s="42" t="n">
        <v>1008</v>
      </c>
      <c r="E68" s="43" t="n">
        <v>1764000</v>
      </c>
      <c r="F68" s="44" t="n">
        <v>1764000</v>
      </c>
      <c r="G68" s="41" t="inlineStr"/>
    </row>
    <row r="69" ht="17" customHeight="1">
      <c r="A69" s="46" t="inlineStr"/>
      <c r="B69" s="40" t="inlineStr">
        <is>
          <t>GP2-AS-0058</t>
        </is>
      </c>
      <c r="C69" s="41" t="inlineStr">
        <is>
          <t>HGP250 3P SPARE PART ASS"Y HGP250-G</t>
        </is>
      </c>
      <c r="D69" s="42" t="n">
        <v>1300</v>
      </c>
      <c r="E69" s="43" t="n">
        <v>1747200</v>
      </c>
      <c r="F69" s="44" t="n">
        <v>1647100</v>
      </c>
      <c r="G69" s="41" t="inlineStr"/>
    </row>
    <row r="70" ht="17" customHeight="1">
      <c r="A70" s="46" t="inlineStr"/>
      <c r="B70" s="40" t="inlineStr">
        <is>
          <t>GC1-MO-0038</t>
        </is>
      </c>
      <c r="C70" s="41" t="inlineStr">
        <is>
          <t>ADJ SUB TRIP 2P SHAFT HGM100</t>
        </is>
      </c>
      <c r="D70" s="42" t="n">
        <v>14000</v>
      </c>
      <c r="E70" s="43" t="n">
        <v>1540000</v>
      </c>
      <c r="F70" s="44" t="n">
        <v>280000</v>
      </c>
      <c r="G70" s="41" t="inlineStr"/>
    </row>
    <row r="71" ht="17" customHeight="1">
      <c r="A71" s="46" t="inlineStr"/>
      <c r="B71" s="40" t="inlineStr">
        <is>
          <t>GC5-AS-0042</t>
        </is>
      </c>
      <c r="C71" s="41" t="inlineStr">
        <is>
          <t>ADJ KNOB ASS"Y HGM800</t>
        </is>
      </c>
      <c r="D71" s="42" t="n">
        <v>3900</v>
      </c>
      <c r="E71" s="43" t="n">
        <v>1415700</v>
      </c>
      <c r="F71" s="44" t="n">
        <v>1415700</v>
      </c>
      <c r="G71" s="41" t="inlineStr"/>
    </row>
    <row r="72" ht="17" customHeight="1">
      <c r="A72" s="46" t="inlineStr"/>
      <c r="B72" s="40" t="inlineStr">
        <is>
          <t>GC4-AS-0042</t>
        </is>
      </c>
      <c r="C72" s="41" t="inlineStr">
        <is>
          <t>ADJ KNOB ASS"Y HGM400</t>
        </is>
      </c>
      <c r="D72" s="42" t="n">
        <v>3600</v>
      </c>
      <c r="E72" s="43" t="n">
        <v>1256400</v>
      </c>
      <c r="F72" s="44" t="n">
        <v>896400</v>
      </c>
      <c r="G72" s="41" t="inlineStr"/>
    </row>
    <row r="73" ht="17" customHeight="1">
      <c r="A73" s="46" t="inlineStr"/>
      <c r="B73" s="40" t="inlineStr">
        <is>
          <t>MCM</t>
        </is>
      </c>
      <c r="C73" s="41" t="inlineStr">
        <is>
          <t>HF End CAP</t>
        </is>
      </c>
      <c r="D73" s="42" t="n">
        <v>50000</v>
      </c>
      <c r="E73" s="43" t="n">
        <v>1250000</v>
      </c>
      <c r="F73" s="44" t="n">
        <v>1250000</v>
      </c>
      <c r="G73" s="41" t="inlineStr"/>
    </row>
    <row r="74" ht="17" customHeight="1">
      <c r="A74" s="46" t="inlineStr"/>
      <c r="B74" s="40" t="inlineStr">
        <is>
          <t>3CE-32012</t>
        </is>
      </c>
      <c r="C74" s="41" t="inlineStr">
        <is>
          <t>VCB/VCS DWG PRT/ASSY 3CE-32012 FRONT COVER ASS'Y,FIXED UVC N/A</t>
        </is>
      </c>
      <c r="D74" s="42" t="n">
        <v>52</v>
      </c>
      <c r="E74" s="43" t="n">
        <v>964340</v>
      </c>
      <c r="F74" s="44" t="n">
        <v>964340</v>
      </c>
      <c r="G74" s="41" t="inlineStr"/>
    </row>
    <row r="75" ht="17" customHeight="1">
      <c r="A75" s="46" t="inlineStr"/>
      <c r="B75" s="40" t="inlineStr">
        <is>
          <t>3AT-03473-004</t>
        </is>
      </c>
      <c r="C75" s="41" t="inlineStr">
        <is>
          <t>SC MAIN F COVER 20N HG</t>
        </is>
      </c>
      <c r="D75" s="42" t="n">
        <v>336</v>
      </c>
      <c r="E75" s="43" t="n">
        <v>886368</v>
      </c>
      <c r="F75" s="44" t="n">
        <v>886368</v>
      </c>
      <c r="G75" s="41" t="inlineStr"/>
    </row>
    <row r="76" ht="17" customHeight="1">
      <c r="A76" s="46" t="inlineStr"/>
      <c r="B76" s="40" t="inlineStr">
        <is>
          <t>3CE-31003</t>
        </is>
      </c>
      <c r="C76" s="41" t="inlineStr">
        <is>
          <t>VCB/VCS DWG PRT/ASSY 3CE-31003 FUSE CONTAINER UVC VCS</t>
        </is>
      </c>
      <c r="D76" s="42" t="n">
        <v>120</v>
      </c>
      <c r="E76" s="43" t="n">
        <v>810000</v>
      </c>
      <c r="F76" s="44" t="n">
        <v>810000</v>
      </c>
      <c r="G76" s="41" t="inlineStr"/>
    </row>
    <row r="77" ht="17" customHeight="1">
      <c r="A77" s="46" t="inlineStr"/>
      <c r="B77" s="40" t="inlineStr">
        <is>
          <t>3AT-03962-004</t>
        </is>
      </c>
      <c r="C77" s="41" t="inlineStr">
        <is>
          <t>SC MAIN F COVER 40N HG</t>
        </is>
      </c>
      <c r="D77" s="42" t="n">
        <v>189</v>
      </c>
      <c r="E77" s="43" t="n">
        <v>610092</v>
      </c>
      <c r="F77" s="44" t="n">
        <v>610092</v>
      </c>
      <c r="G77" s="41" t="inlineStr"/>
    </row>
    <row r="78" ht="17" customHeight="1">
      <c r="A78" s="46" t="inlineStr"/>
      <c r="B78" s="40" t="inlineStr">
        <is>
          <t>3AT-03959-004</t>
        </is>
      </c>
      <c r="C78" s="41" t="inlineStr">
        <is>
          <t>U-ADDITIONAL COVER 50 HG</t>
        </is>
      </c>
      <c r="D78" s="42" t="n">
        <v>110</v>
      </c>
      <c r="E78" s="43" t="n">
        <v>575300</v>
      </c>
      <c r="F78" s="44" t="n">
        <v>575300</v>
      </c>
      <c r="G78" s="41" t="inlineStr"/>
    </row>
    <row r="79" ht="17" customHeight="1">
      <c r="A79" s="46" t="inlineStr"/>
      <c r="B79" s="40" t="inlineStr">
        <is>
          <t>3AT-04830-002</t>
        </is>
      </c>
      <c r="C79" s="41" t="inlineStr">
        <is>
          <t>U-ADDITIONAL COVER 63 HG</t>
        </is>
      </c>
      <c r="D79" s="42" t="n">
        <v>66</v>
      </c>
      <c r="E79" s="43" t="n">
        <v>501600</v>
      </c>
      <c r="F79" s="44" t="n">
        <v>501600</v>
      </c>
      <c r="G79" s="41" t="inlineStr"/>
    </row>
    <row r="80" ht="17" customHeight="1">
      <c r="A80" s="46" t="inlineStr"/>
      <c r="B80" s="40" t="inlineStr">
        <is>
          <t>3ME-02415</t>
        </is>
      </c>
      <c r="C80" s="41" t="inlineStr">
        <is>
          <t>MCCB DWG PART/ASSY 3ME-02415 LEAKAGE CASE SUPPORT,HGE800 VCS</t>
        </is>
      </c>
      <c r="D80" s="42" t="n">
        <v>2000</v>
      </c>
      <c r="E80" s="43" t="n">
        <v>460000</v>
      </c>
      <c r="F80" s="44" t="n">
        <v>80000</v>
      </c>
      <c r="G80" s="41" t="inlineStr"/>
    </row>
    <row r="81" ht="17" customHeight="1">
      <c r="A81" s="46" t="inlineStr"/>
      <c r="B81" s="40" t="inlineStr">
        <is>
          <t>9203</t>
        </is>
      </c>
      <c r="C81" s="41" t="inlineStr"/>
      <c r="D81" s="42" t="n">
        <v>840</v>
      </c>
      <c r="E81" s="43" t="n">
        <v>420000</v>
      </c>
      <c r="F81" s="44" t="n">
        <v>420000</v>
      </c>
      <c r="G81" s="41" t="inlineStr"/>
    </row>
    <row r="82" ht="17" customHeight="1">
      <c r="A82" s="46" t="inlineStr"/>
      <c r="B82" s="40" t="inlineStr">
        <is>
          <t>9252</t>
        </is>
      </c>
      <c r="C82" s="41" t="inlineStr"/>
      <c r="D82" s="42" t="n">
        <v>810</v>
      </c>
      <c r="E82" s="43" t="n">
        <v>364500</v>
      </c>
      <c r="F82" s="44" t="n">
        <v>364500</v>
      </c>
      <c r="G82" s="41" t="inlineStr"/>
    </row>
    <row r="83" ht="17" customHeight="1">
      <c r="A83" s="46" t="inlineStr"/>
      <c r="B83" s="40" t="inlineStr">
        <is>
          <t>GP2-AS-0059</t>
        </is>
      </c>
      <c r="C83" s="41" t="inlineStr">
        <is>
          <t>HGP250 4P SPARE PART ASS"Y HGP250-G</t>
        </is>
      </c>
      <c r="D83" s="42" t="n">
        <v>200</v>
      </c>
      <c r="E83" s="43" t="n">
        <v>356800</v>
      </c>
      <c r="F83" s="44" t="n">
        <v>341400</v>
      </c>
      <c r="G83" s="41" t="inlineStr"/>
    </row>
    <row r="84" ht="17" customHeight="1">
      <c r="A84" s="46" t="inlineStr"/>
      <c r="B84" s="40" t="inlineStr">
        <is>
          <t>GP1-AS-0098</t>
        </is>
      </c>
      <c r="C84" s="41" t="inlineStr"/>
      <c r="D84" s="42" t="n">
        <v>4400</v>
      </c>
      <c r="E84" s="43" t="n">
        <v>338800</v>
      </c>
      <c r="F84" s="44" t="n">
        <v>338800</v>
      </c>
      <c r="G84" s="41" t="inlineStr"/>
    </row>
    <row r="85" ht="17" customHeight="1">
      <c r="A85" s="46" t="inlineStr"/>
      <c r="B85" s="40" t="inlineStr">
        <is>
          <t>64613173045-1V</t>
        </is>
      </c>
      <c r="C85" s="41" t="inlineStr">
        <is>
          <t>LS단자 COVER FRONT CONTROLLER VCB TMC</t>
        </is>
      </c>
      <c r="D85" s="42" t="n">
        <v>1</v>
      </c>
      <c r="E85" s="43" t="n">
        <v>300000</v>
      </c>
      <c r="F85" s="44" t="n">
        <v>300000</v>
      </c>
      <c r="G85" s="41" t="inlineStr"/>
    </row>
    <row r="86" ht="17" customHeight="1">
      <c r="A86" s="46" t="inlineStr"/>
      <c r="B86" s="40" t="inlineStr">
        <is>
          <t>SWTH-044</t>
        </is>
      </c>
      <c r="C86" s="41" t="inlineStr">
        <is>
          <t>금형 채널 수리비</t>
        </is>
      </c>
      <c r="D86" s="42" t="n">
        <v>1</v>
      </c>
      <c r="E86" s="43" t="n">
        <v>300000</v>
      </c>
      <c r="F86" s="44" t="n">
        <v>300000</v>
      </c>
      <c r="G86" s="41" t="inlineStr"/>
    </row>
    <row r="87" ht="17" customHeight="1">
      <c r="A87" s="46" t="inlineStr"/>
      <c r="B87" s="40" t="inlineStr">
        <is>
          <t>GU2-MO-0004</t>
        </is>
      </c>
      <c r="C87" s="41" t="inlineStr">
        <is>
          <t>3P 150A MAIN COVER</t>
        </is>
      </c>
      <c r="D87" s="42" t="n">
        <v>300</v>
      </c>
      <c r="E87" s="43" t="n">
        <v>267000</v>
      </c>
      <c r="F87" s="44" t="n">
        <v>267000</v>
      </c>
      <c r="G87" s="41" t="inlineStr"/>
    </row>
    <row r="88" ht="17" customHeight="1">
      <c r="A88" s="46" t="inlineStr"/>
      <c r="B88" s="40" t="inlineStr">
        <is>
          <t>GC1-MO-0059</t>
        </is>
      </c>
      <c r="C88" s="41" t="inlineStr">
        <is>
          <t>ADJ SUB TRIP 2P SHAFT (40A~100A) HGM100</t>
        </is>
      </c>
      <c r="D88" s="42" t="n">
        <v>2000</v>
      </c>
      <c r="E88" s="43" t="n">
        <v>250000</v>
      </c>
      <c r="F88" s="44" t="n">
        <v>250000</v>
      </c>
      <c r="G88" s="41" t="inlineStr"/>
    </row>
    <row r="89" ht="17" customHeight="1">
      <c r="A89" s="46" t="inlineStr"/>
      <c r="B89" s="40" t="inlineStr">
        <is>
          <t>GU1-AS-0084</t>
        </is>
      </c>
      <c r="C89" s="41" t="inlineStr">
        <is>
          <t>3P SPARE PART ASS"Y HGU125</t>
        </is>
      </c>
      <c r="D89" s="42" t="n">
        <v>400</v>
      </c>
      <c r="E89" s="43" t="n">
        <v>240000</v>
      </c>
      <c r="F89" s="44" t="n">
        <v>240000</v>
      </c>
      <c r="G89" s="41" t="inlineStr"/>
    </row>
    <row r="90" ht="17" customHeight="1">
      <c r="A90" s="46" t="inlineStr"/>
      <c r="B90" s="40" t="inlineStr">
        <is>
          <t>GU1-AS-0046</t>
        </is>
      </c>
      <c r="C90" s="41" t="inlineStr">
        <is>
          <t>3P MAIN COVER ASS"Y</t>
        </is>
      </c>
      <c r="D90" s="42" t="n">
        <v>242</v>
      </c>
      <c r="E90" s="43" t="n">
        <v>237160</v>
      </c>
      <c r="F90" s="44" t="n">
        <v>237160</v>
      </c>
      <c r="G90" s="41" t="inlineStr"/>
    </row>
    <row r="91" ht="17" customHeight="1">
      <c r="A91" s="46" t="inlineStr"/>
      <c r="B91" s="40" t="inlineStr">
        <is>
          <t>50613460001</t>
        </is>
      </c>
      <c r="C91" s="41" t="inlineStr">
        <is>
          <t>BUTTON , RESET (TOTAL ASS'Y 7231 3460 001)</t>
        </is>
      </c>
      <c r="D91" s="42" t="n">
        <v>5700</v>
      </c>
      <c r="E91" s="43" t="n">
        <v>228000</v>
      </c>
      <c r="F91" s="44" t="n">
        <v>228000</v>
      </c>
      <c r="G91" s="41" t="inlineStr"/>
    </row>
    <row r="92" ht="17" customHeight="1">
      <c r="A92" s="46" t="inlineStr"/>
      <c r="B92" s="40" t="inlineStr">
        <is>
          <t>GC1-AS-0099</t>
        </is>
      </c>
      <c r="C92" s="41" t="inlineStr">
        <is>
          <t>2P SPARE PART ASS"Y HGM100</t>
        </is>
      </c>
      <c r="D92" s="42" t="n">
        <v>500</v>
      </c>
      <c r="E92" s="43" t="n">
        <v>214000</v>
      </c>
      <c r="F92" s="44" t="n">
        <v>214000</v>
      </c>
      <c r="G92" s="41" t="inlineStr"/>
    </row>
    <row r="93" ht="17" customHeight="1">
      <c r="A93" s="46" t="inlineStr"/>
      <c r="B93" s="40" t="inlineStr">
        <is>
          <t>70/MM</t>
        </is>
      </c>
      <c r="C93" s="41" t="inlineStr">
        <is>
          <t>LS BRAKET</t>
        </is>
      </c>
      <c r="D93" s="42" t="n">
        <v>400</v>
      </c>
      <c r="E93" s="43" t="n">
        <v>200000</v>
      </c>
      <c r="F93" s="44" t="n">
        <v>200000</v>
      </c>
      <c r="G93" s="41" t="inlineStr"/>
    </row>
    <row r="94" ht="17" customHeight="1">
      <c r="A94" s="46" t="inlineStr"/>
      <c r="B94" s="40" t="inlineStr">
        <is>
          <t>GC2-MO-0062</t>
        </is>
      </c>
      <c r="C94" s="41" t="inlineStr">
        <is>
          <t>SUB TRIP SHAFT 0.7TIMES HGM125</t>
        </is>
      </c>
      <c r="D94" s="42" t="n">
        <v>2000</v>
      </c>
      <c r="E94" s="43" t="n">
        <v>196000</v>
      </c>
      <c r="F94" s="44" t="n">
        <v>196000</v>
      </c>
      <c r="G94" s="41" t="inlineStr"/>
    </row>
    <row r="95" ht="17" customHeight="1">
      <c r="A95" s="46" t="inlineStr"/>
      <c r="B95" s="40" t="inlineStr">
        <is>
          <t>GC1-MO-5007</t>
        </is>
      </c>
      <c r="C95" s="41" t="inlineStr">
        <is>
          <t>Insulation Cover HGE100</t>
        </is>
      </c>
      <c r="D95" s="42" t="n">
        <v>2000</v>
      </c>
      <c r="E95" s="43" t="n">
        <v>192000</v>
      </c>
      <c r="F95" s="44" t="n">
        <v>82000</v>
      </c>
      <c r="G95" s="41" t="inlineStr"/>
    </row>
    <row r="96" ht="17" customHeight="1">
      <c r="A96" s="46" t="inlineStr"/>
      <c r="B96" s="40" t="inlineStr">
        <is>
          <t>GC5-MO-0015</t>
        </is>
      </c>
      <c r="C96" s="41" t="inlineStr">
        <is>
          <t>SUB TRIP SHAFT SUPPORT</t>
        </is>
      </c>
      <c r="D96" s="42" t="n">
        <v>600</v>
      </c>
      <c r="E96" s="43" t="n">
        <v>175200</v>
      </c>
      <c r="F96" s="44" t="n">
        <v>175200</v>
      </c>
      <c r="G96" s="41" t="inlineStr"/>
    </row>
    <row r="97" ht="17" customHeight="1">
      <c r="A97" s="46" t="inlineStr"/>
      <c r="B97" s="40" t="inlineStr">
        <is>
          <t>GU1-AS-0090</t>
        </is>
      </c>
      <c r="C97" s="41" t="inlineStr">
        <is>
          <t>MCCB DWG PART/ASSY GU1-AS-0090 3P SS SPARE_PART ASS'Y HGU125</t>
        </is>
      </c>
      <c r="D97" s="42" t="n">
        <v>100</v>
      </c>
      <c r="E97" s="43" t="n">
        <v>171000</v>
      </c>
      <c r="F97" s="44" t="n">
        <v>171000</v>
      </c>
      <c r="G97" s="41" t="inlineStr"/>
    </row>
    <row r="98" ht="17" customHeight="1">
      <c r="A98" s="46" t="inlineStr"/>
      <c r="B98" s="40" t="inlineStr">
        <is>
          <t>9216001819</t>
        </is>
      </c>
      <c r="C98" s="41" t="inlineStr">
        <is>
          <t>MCCB ACCY(STOP MAKE) GP1_AS_0002 4P_SPARE PART ASS'Y HGP160D MCCB SPARE</t>
        </is>
      </c>
      <c r="D98" s="42" t="n">
        <v>100</v>
      </c>
      <c r="E98" s="43" t="n">
        <v>170900</v>
      </c>
      <c r="F98" s="44" t="n">
        <v>170900</v>
      </c>
      <c r="G98" s="41" t="inlineStr"/>
    </row>
    <row r="99" ht="17" customHeight="1">
      <c r="A99" s="46" t="inlineStr"/>
      <c r="B99" s="40" t="inlineStr">
        <is>
          <t>GU1-MO-0052</t>
        </is>
      </c>
      <c r="C99" s="41" t="inlineStr">
        <is>
          <t>INSULATION_BARRIER</t>
        </is>
      </c>
      <c r="D99" s="42" t="n">
        <v>1500</v>
      </c>
      <c r="E99" s="43" t="n">
        <v>165000</v>
      </c>
      <c r="F99" s="44" t="n">
        <v>30000</v>
      </c>
      <c r="G99" s="41" t="inlineStr"/>
    </row>
    <row r="100" ht="17" customHeight="1">
      <c r="A100" s="46" t="inlineStr"/>
      <c r="B100" s="40" t="inlineStr">
        <is>
          <t>GU2-MO-0006</t>
        </is>
      </c>
      <c r="C100" s="41" t="inlineStr">
        <is>
          <t>3P 150A TRIP COVER</t>
        </is>
      </c>
      <c r="D100" s="42" t="n">
        <v>300</v>
      </c>
      <c r="E100" s="43" t="n">
        <v>158100</v>
      </c>
      <c r="F100" s="44" t="n">
        <v>158100</v>
      </c>
      <c r="G100" s="41" t="inlineStr"/>
    </row>
    <row r="101" ht="17" customHeight="1">
      <c r="A101" s="46" t="inlineStr"/>
      <c r="B101" s="40" t="inlineStr">
        <is>
          <t>3AT-06249</t>
        </is>
      </c>
      <c r="C101" s="41" t="inlineStr">
        <is>
          <t>HG COVER FRONT 40(DC)</t>
        </is>
      </c>
      <c r="D101" s="42" t="n">
        <v>17</v>
      </c>
      <c r="E101" s="43" t="n">
        <v>144568</v>
      </c>
      <c r="F101" s="44" t="n">
        <v>144568</v>
      </c>
      <c r="G101" s="41" t="inlineStr"/>
    </row>
    <row r="102" ht="17" customHeight="1">
      <c r="A102" s="46" t="inlineStr"/>
      <c r="B102" s="40" t="inlineStr">
        <is>
          <t>GU2-AS-0011</t>
        </is>
      </c>
      <c r="C102" s="41" t="inlineStr">
        <is>
          <t>MCCB DWG PART/ASSY GU2-AS-0011 3P SPARE_PART ASS'Y HGU150 250</t>
        </is>
      </c>
      <c r="D102" s="42" t="n">
        <v>300</v>
      </c>
      <c r="E102" s="43" t="n">
        <v>144000</v>
      </c>
      <c r="F102" s="44" t="n">
        <v>144000</v>
      </c>
      <c r="G102" s="41" t="inlineStr"/>
    </row>
    <row r="103" ht="17" customHeight="1">
      <c r="A103" s="46" t="inlineStr"/>
      <c r="B103" s="40" t="inlineStr">
        <is>
          <t>GC4-MO-0020</t>
        </is>
      </c>
      <c r="C103" s="41" t="inlineStr">
        <is>
          <t>SUB TRIP SHAFT - SUPPORTER</t>
        </is>
      </c>
      <c r="D103" s="42" t="n">
        <v>600</v>
      </c>
      <c r="E103" s="43" t="n">
        <v>132000</v>
      </c>
      <c r="F103" s="44" t="n">
        <v>132000</v>
      </c>
      <c r="G103" s="41" t="inlineStr"/>
    </row>
    <row r="104" ht="17" customHeight="1">
      <c r="A104" s="46" t="inlineStr"/>
      <c r="B104" s="40" t="inlineStr">
        <is>
          <t>GC3-MO-0047</t>
        </is>
      </c>
      <c r="C104" s="41" t="inlineStr">
        <is>
          <t>SUB TRIP SHAFT 0.7TIMES HGM250</t>
        </is>
      </c>
      <c r="D104" s="42" t="n">
        <v>1000</v>
      </c>
      <c r="E104" s="43" t="n">
        <v>125000</v>
      </c>
      <c r="F104" s="44" t="n">
        <v>125000</v>
      </c>
      <c r="G104" s="41" t="inlineStr"/>
    </row>
    <row r="105" ht="17" customHeight="1">
      <c r="A105" s="46" t="inlineStr"/>
      <c r="B105" s="40" t="inlineStr">
        <is>
          <t>GU1-AS-0089</t>
        </is>
      </c>
      <c r="C105" s="41" t="inlineStr">
        <is>
          <t>MCCB DWG PART/ASSY GU1-AS-0089 2P SS SPARE_PART ASS'Y HGU125</t>
        </is>
      </c>
      <c r="D105" s="42" t="n">
        <v>100</v>
      </c>
      <c r="E105" s="43" t="n">
        <v>107100</v>
      </c>
      <c r="F105" s="44" t="n">
        <v>107100</v>
      </c>
      <c r="G105" s="41" t="inlineStr"/>
    </row>
    <row r="106" ht="17" customHeight="1">
      <c r="A106" s="46" t="inlineStr"/>
      <c r="B106" s="40" t="inlineStr">
        <is>
          <t>GU2-MO-0003</t>
        </is>
      </c>
      <c r="C106" s="41" t="inlineStr">
        <is>
          <t>3P 250A MAIN COVER</t>
        </is>
      </c>
      <c r="D106" s="42" t="n">
        <v>100</v>
      </c>
      <c r="E106" s="43" t="n">
        <v>97000</v>
      </c>
      <c r="F106" s="44" t="n">
        <v>97000</v>
      </c>
      <c r="G106" s="41" t="inlineStr"/>
    </row>
    <row r="107" ht="17" customHeight="1">
      <c r="A107" s="46" t="inlineStr"/>
      <c r="B107" s="40" t="inlineStr">
        <is>
          <t>GU1-MO-0030</t>
        </is>
      </c>
      <c r="C107" s="41" t="inlineStr">
        <is>
          <t>3P KNOB PROTECTION_COVER</t>
        </is>
      </c>
      <c r="D107" s="42" t="n">
        <v>1000</v>
      </c>
      <c r="E107" s="43" t="n">
        <v>93000</v>
      </c>
      <c r="F107" s="44" t="n">
        <v>93000</v>
      </c>
      <c r="G107" s="41" t="inlineStr"/>
    </row>
    <row r="108" ht="17" customHeight="1">
      <c r="A108" s="46" t="inlineStr"/>
      <c r="B108" s="40" t="inlineStr">
        <is>
          <t>GP1-AS-0002</t>
        </is>
      </c>
      <c r="C108" s="41" t="inlineStr">
        <is>
          <t>HGP160 4P SPARE PART ASS"Y</t>
        </is>
      </c>
      <c r="D108" s="42" t="n">
        <v>50</v>
      </c>
      <c r="E108" s="43" t="n">
        <v>85450</v>
      </c>
      <c r="F108" s="44" t="n">
        <v>81600</v>
      </c>
      <c r="G108" s="41" t="inlineStr"/>
    </row>
    <row r="109" ht="17" customHeight="1">
      <c r="A109" s="46" t="inlineStr"/>
      <c r="B109" s="40" t="inlineStr">
        <is>
          <t>GU1-AS-0047</t>
        </is>
      </c>
      <c r="C109" s="41" t="inlineStr">
        <is>
          <t>2P MAIN COVER ASS"Y</t>
        </is>
      </c>
      <c r="D109" s="42" t="n">
        <v>100</v>
      </c>
      <c r="E109" s="43" t="n">
        <v>75200</v>
      </c>
      <c r="F109" s="44" t="n">
        <v>75200</v>
      </c>
      <c r="G109" s="41" t="inlineStr"/>
    </row>
    <row r="110" ht="17" customHeight="1">
      <c r="A110" s="46" t="inlineStr"/>
      <c r="B110" s="40" t="inlineStr">
        <is>
          <t>GA1-AB-0023</t>
        </is>
      </c>
      <c r="C110" s="41" t="inlineStr">
        <is>
          <t>DC HG FRONT COVER/20</t>
        </is>
      </c>
      <c r="D110" s="42" t="n">
        <v>8</v>
      </c>
      <c r="E110" s="43" t="n">
        <v>73672</v>
      </c>
      <c r="F110" s="44" t="n">
        <v>73672</v>
      </c>
      <c r="G110" s="41" t="inlineStr"/>
    </row>
    <row r="111" ht="17" customHeight="1">
      <c r="A111" s="46" t="inlineStr"/>
      <c r="B111" s="40" t="inlineStr">
        <is>
          <t>GU2-MO-0010</t>
        </is>
      </c>
      <c r="C111" s="41" t="inlineStr">
        <is>
          <t>MCCB DWG PART/ASSY GU2-MO-0010 2P 150A TERMINAL_BASE HGU150</t>
        </is>
      </c>
      <c r="D111" s="42" t="n">
        <v>200</v>
      </c>
      <c r="E111" s="43" t="n">
        <v>31600</v>
      </c>
      <c r="F111" s="44" t="n">
        <v>31600</v>
      </c>
      <c r="G111" s="41" t="inlineStr"/>
    </row>
    <row r="112" ht="17" customHeight="1">
      <c r="A112" s="46" t="inlineStr"/>
      <c r="B112" s="40" t="inlineStr">
        <is>
          <t>GU1-MO-0029</t>
        </is>
      </c>
      <c r="C112" s="41" t="inlineStr">
        <is>
          <t>2P FRONT_COVER</t>
        </is>
      </c>
      <c r="D112" s="42" t="n">
        <v>100</v>
      </c>
      <c r="E112" s="43" t="n">
        <v>22400</v>
      </c>
      <c r="F112" s="44" t="n">
        <v>22400</v>
      </c>
      <c r="G112" s="41" t="inlineStr"/>
    </row>
    <row r="113" ht="17" customHeight="1">
      <c r="A113" s="46" t="inlineStr"/>
      <c r="B113" s="40" t="inlineStr">
        <is>
          <t>DRA12GU</t>
        </is>
      </c>
      <c r="C113" s="41" t="inlineStr">
        <is>
          <t>DIN RAIL ADAPTOR,</t>
        </is>
      </c>
      <c r="D113" s="42" t="n">
        <v>1</v>
      </c>
      <c r="E113" s="43" t="n">
        <v>910</v>
      </c>
      <c r="F113" s="44" t="n">
        <v>910</v>
      </c>
      <c r="G113" s="41" t="inlineStr"/>
    </row>
    <row r="114" ht="17" customHeight="1">
      <c r="A114" s="31" t="inlineStr">
        <is>
          <t>LS ELEC</t>
        </is>
      </c>
      <c r="B114" s="32" t="inlineStr">
        <is>
          <t>64623173001</t>
        </is>
      </c>
      <c r="C114" s="33" t="inlineStr">
        <is>
          <t>COVER ASS'Y,MOLD,SUSOL</t>
        </is>
      </c>
      <c r="D114" s="34" t="n">
        <v>1051</v>
      </c>
      <c r="E114" s="35" t="n">
        <v>16159125</v>
      </c>
      <c r="F114" s="36" t="n">
        <v>16159125</v>
      </c>
      <c r="G114" s="33" t="inlineStr"/>
    </row>
    <row r="115" ht="17" customHeight="1">
      <c r="A115" s="38" t="inlineStr"/>
      <c r="B115" s="32" t="inlineStr">
        <is>
          <t>64613463606</t>
        </is>
      </c>
      <c r="C115" s="33" t="inlineStr">
        <is>
          <t>COVER,FRONT,DC,(E4G3G4)</t>
        </is>
      </c>
      <c r="D115" s="34" t="n">
        <v>1538</v>
      </c>
      <c r="E115" s="35" t="n">
        <v>14351078</v>
      </c>
      <c r="F115" s="36" t="n">
        <v>14351078</v>
      </c>
      <c r="G115" s="33" t="inlineStr"/>
    </row>
    <row r="116" ht="17" customHeight="1">
      <c r="A116" s="38" t="inlineStr"/>
      <c r="B116" s="32" t="inlineStr">
        <is>
          <t>64723460502</t>
        </is>
      </c>
      <c r="C116" s="33" t="inlineStr">
        <is>
          <t>DOOR ASS'Y,FRAME FIXED</t>
        </is>
      </c>
      <c r="D116" s="34" t="n">
        <v>1492</v>
      </c>
      <c r="E116" s="35" t="n">
        <v>10563360</v>
      </c>
      <c r="F116" s="36" t="n">
        <v>10563360</v>
      </c>
      <c r="G116" s="33" t="inlineStr"/>
    </row>
    <row r="117" ht="17" customHeight="1">
      <c r="A117" s="38" t="inlineStr"/>
      <c r="B117" s="32" t="inlineStr">
        <is>
          <t>64613463031</t>
        </is>
      </c>
      <c r="C117" s="33" t="inlineStr">
        <is>
          <t>COVER,FRONT 40P3,AH-EG,v2</t>
        </is>
      </c>
      <c r="D117" s="34" t="n">
        <v>904</v>
      </c>
      <c r="E117" s="35" t="n">
        <v>10110336</v>
      </c>
      <c r="F117" s="36" t="n">
        <v>10110336</v>
      </c>
      <c r="G117" s="33" t="inlineStr"/>
    </row>
    <row r="118" ht="17" customHeight="1">
      <c r="A118" s="38" t="inlineStr"/>
      <c r="B118" s="32" t="inlineStr">
        <is>
          <t>64613461053</t>
        </is>
      </c>
      <c r="C118" s="33" t="inlineStr">
        <is>
          <t>COVER,FRONT 20P3,AN AS-DF,v2,(D4F3F4)</t>
        </is>
      </c>
      <c r="D118" s="34" t="n">
        <v>895</v>
      </c>
      <c r="E118" s="35" t="n">
        <v>9348275</v>
      </c>
      <c r="F118" s="36" t="n">
        <v>9348275</v>
      </c>
      <c r="G118" s="33" t="inlineStr"/>
    </row>
    <row r="119" ht="17" customHeight="1">
      <c r="A119" s="38" t="inlineStr"/>
      <c r="B119" s="32" t="inlineStr">
        <is>
          <t>64613463033</t>
        </is>
      </c>
      <c r="C119" s="33" t="inlineStr">
        <is>
          <t>COVER,FRONT 40P3,AH-EG,v2,(E4G3G4)</t>
        </is>
      </c>
      <c r="D119" s="34" t="n">
        <v>522</v>
      </c>
      <c r="E119" s="35" t="n">
        <v>5937750</v>
      </c>
      <c r="F119" s="36" t="n">
        <v>5937750</v>
      </c>
      <c r="G119" s="33" t="inlineStr"/>
    </row>
    <row r="120" ht="17" customHeight="1">
      <c r="A120" s="38" t="inlineStr"/>
      <c r="B120" s="32" t="inlineStr">
        <is>
          <t>64613463053</t>
        </is>
      </c>
      <c r="C120" s="33" t="inlineStr">
        <is>
          <t>COVER,FRONT 40P3,AN,AS-EG,v2,(E4G3G4)</t>
        </is>
      </c>
      <c r="D120" s="34" t="n">
        <v>481</v>
      </c>
      <c r="E120" s="35" t="n">
        <v>5471375</v>
      </c>
      <c r="F120" s="36" t="n">
        <v>5471375</v>
      </c>
      <c r="G120" s="33" t="inlineStr"/>
    </row>
    <row r="121" ht="17" customHeight="1">
      <c r="A121" s="38" t="inlineStr"/>
      <c r="B121" s="32" t="inlineStr">
        <is>
          <t>64613172021</t>
        </is>
      </c>
      <c r="C121" s="33" t="inlineStr">
        <is>
          <t>COVER,MAIN CIRCUIT,24kV,630/1250A,VL</t>
        </is>
      </c>
      <c r="D121" s="34" t="n">
        <v>156</v>
      </c>
      <c r="E121" s="35" t="n">
        <v>5323188</v>
      </c>
      <c r="F121" s="36" t="n">
        <v>5323188</v>
      </c>
      <c r="G121" s="33" t="inlineStr"/>
    </row>
    <row r="122" ht="17" customHeight="1">
      <c r="A122" s="38" t="inlineStr"/>
      <c r="B122" s="32" t="inlineStr">
        <is>
          <t>64613463051</t>
        </is>
      </c>
      <c r="C122" s="33" t="inlineStr">
        <is>
          <t>COVER,FRONT 40P3,AN AS-EG,v2</t>
        </is>
      </c>
      <c r="D122" s="34" t="n">
        <v>417</v>
      </c>
      <c r="E122" s="35" t="n">
        <v>4663728</v>
      </c>
      <c r="F122" s="36" t="n">
        <v>4663728</v>
      </c>
      <c r="G122" s="33" t="inlineStr"/>
    </row>
    <row r="123" ht="17" customHeight="1">
      <c r="A123" s="38" t="inlineStr"/>
      <c r="B123" s="32" t="inlineStr">
        <is>
          <t>64613465032</t>
        </is>
      </c>
      <c r="C123" s="33" t="inlineStr">
        <is>
          <t>COVER,AUX 63,AN,AH-G,v2</t>
        </is>
      </c>
      <c r="D123" s="34" t="n">
        <v>472</v>
      </c>
      <c r="E123" s="35" t="n">
        <v>4218264</v>
      </c>
      <c r="F123" s="36" t="n">
        <v>4218264</v>
      </c>
      <c r="G123" s="33" t="inlineStr"/>
    </row>
    <row r="124" ht="17" customHeight="1">
      <c r="A124" s="38" t="inlineStr"/>
      <c r="B124" s="32" t="inlineStr">
        <is>
          <t>64613171001</t>
        </is>
      </c>
      <c r="C124" s="33" t="inlineStr">
        <is>
          <t>COVER,FRONT,VL</t>
        </is>
      </c>
      <c r="D124" s="34" t="n">
        <v>221</v>
      </c>
      <c r="E124" s="35" t="n">
        <v>2871453</v>
      </c>
      <c r="F124" s="36" t="n">
        <v>2871453</v>
      </c>
      <c r="G124" s="33" t="inlineStr"/>
    </row>
    <row r="125" ht="17" customHeight="1">
      <c r="A125" s="38" t="inlineStr"/>
      <c r="B125" s="32" t="inlineStr">
        <is>
          <t>64613173007</t>
        </is>
      </c>
      <c r="C125" s="33" t="inlineStr">
        <is>
          <t>COVER,MAIN CIRCUIT,295,VH</t>
        </is>
      </c>
      <c r="D125" s="34" t="n">
        <v>222</v>
      </c>
      <c r="E125" s="35" t="n">
        <v>2127204</v>
      </c>
      <c r="F125" s="36" t="n">
        <v>2127204</v>
      </c>
      <c r="G125" s="33" t="inlineStr"/>
    </row>
    <row r="126" ht="17" customHeight="1">
      <c r="A126" s="38" t="inlineStr"/>
      <c r="B126" s="32" t="inlineStr">
        <is>
          <t>64613172015</t>
        </is>
      </c>
      <c r="C126" s="33" t="inlineStr">
        <is>
          <t>COVER,MAIN,CIRCUIT,7.2kV,VL</t>
        </is>
      </c>
      <c r="D126" s="34" t="n">
        <v>219</v>
      </c>
      <c r="E126" s="35" t="n">
        <v>1904205</v>
      </c>
      <c r="F126" s="36" t="n">
        <v>1904205</v>
      </c>
      <c r="G126" s="33" t="inlineStr"/>
    </row>
    <row r="127" ht="17" customHeight="1">
      <c r="A127" s="38" t="inlineStr"/>
      <c r="B127" s="32" t="inlineStr">
        <is>
          <t>80573172025</t>
        </is>
      </c>
      <c r="C127" s="33" t="inlineStr">
        <is>
          <t>PACKING ASS'Y,COVER,FRONT,CKD,6EA</t>
        </is>
      </c>
      <c r="D127" s="34" t="n">
        <v>20</v>
      </c>
      <c r="E127" s="35" t="n">
        <v>1894360</v>
      </c>
      <c r="F127" s="36" t="n">
        <v>1894360</v>
      </c>
      <c r="G127" s="33" t="inlineStr"/>
    </row>
    <row r="128" ht="17" customHeight="1">
      <c r="A128" s="38" t="inlineStr"/>
      <c r="B128" s="32" t="inlineStr">
        <is>
          <t>64723460515</t>
        </is>
      </c>
      <c r="C128" s="33" t="inlineStr">
        <is>
          <t>DOOR ASS'Y,FRAME Drawout,(SYS)</t>
        </is>
      </c>
      <c r="D128" s="34" t="n">
        <v>243</v>
      </c>
      <c r="E128" s="35" t="n">
        <v>1523610</v>
      </c>
      <c r="F128" s="36" t="n">
        <v>1523610</v>
      </c>
      <c r="G128" s="33" t="inlineStr"/>
    </row>
    <row r="129" ht="17" customHeight="1">
      <c r="A129" s="38" t="inlineStr"/>
      <c r="B129" s="32" t="inlineStr">
        <is>
          <t>64613461031</t>
        </is>
      </c>
      <c r="C129" s="33" t="inlineStr">
        <is>
          <t>COVER,FRONT 20P3,AH-D,v2</t>
        </is>
      </c>
      <c r="D129" s="34" t="n">
        <v>141</v>
      </c>
      <c r="E129" s="35" t="n">
        <v>1436649</v>
      </c>
      <c r="F129" s="36" t="n">
        <v>1436649</v>
      </c>
      <c r="G129" s="33" t="inlineStr"/>
    </row>
    <row r="130" ht="17" customHeight="1">
      <c r="A130" s="38" t="inlineStr"/>
      <c r="B130" s="32" t="inlineStr">
        <is>
          <t>64613172023</t>
        </is>
      </c>
      <c r="C130" s="33" t="inlineStr">
        <is>
          <t>COVER,MAIN CIRCUIT,TOP 24kV,VL</t>
        </is>
      </c>
      <c r="D130" s="34" t="n">
        <v>171</v>
      </c>
      <c r="E130" s="35" t="n">
        <v>1317213</v>
      </c>
      <c r="F130" s="36" t="n">
        <v>1317213</v>
      </c>
      <c r="G130" s="33" t="inlineStr"/>
    </row>
    <row r="131" ht="17" customHeight="1">
      <c r="A131" s="38" t="inlineStr"/>
      <c r="B131" s="32" t="inlineStr">
        <is>
          <t>64723460880</t>
        </is>
      </c>
      <c r="C131" s="33" t="inlineStr">
        <is>
          <t>DOOR ASS'Y,FRAME Drawout,DS</t>
        </is>
      </c>
      <c r="D131" s="34" t="n">
        <v>189</v>
      </c>
      <c r="E131" s="35" t="n">
        <v>1237950</v>
      </c>
      <c r="F131" s="36" t="n">
        <v>1237950</v>
      </c>
      <c r="G131" s="33" t="inlineStr"/>
    </row>
    <row r="132" ht="17" customHeight="1">
      <c r="A132" s="38" t="inlineStr"/>
      <c r="B132" s="32" t="inlineStr">
        <is>
          <t>64613463603</t>
        </is>
      </c>
      <c r="C132" s="33" t="inlineStr">
        <is>
          <t>COVER,FRONT 40P3,DC,ADN,(KEY LOCK)</t>
        </is>
      </c>
      <c r="D132" s="34" t="n">
        <v>100</v>
      </c>
      <c r="E132" s="35" t="n">
        <v>989800</v>
      </c>
      <c r="F132" s="36" t="n">
        <v>989800</v>
      </c>
      <c r="G132" s="33" t="inlineStr"/>
    </row>
    <row r="133" ht="17" customHeight="1">
      <c r="A133" s="38" t="inlineStr"/>
      <c r="B133" s="32" t="inlineStr">
        <is>
          <t>64613465001</t>
        </is>
      </c>
      <c r="C133" s="33" t="inlineStr">
        <is>
          <t>COVER,AUX 50,AN-F</t>
        </is>
      </c>
      <c r="D133" s="34" t="n">
        <v>156</v>
      </c>
      <c r="E133" s="35" t="n">
        <v>825864</v>
      </c>
      <c r="F133" s="36" t="n">
        <v>825864</v>
      </c>
      <c r="G133" s="33" t="inlineStr"/>
    </row>
    <row r="134" ht="17" customHeight="1">
      <c r="A134" s="38" t="inlineStr"/>
      <c r="B134" s="32" t="inlineStr">
        <is>
          <t>64613172013</t>
        </is>
      </c>
      <c r="C134" s="33" t="inlineStr">
        <is>
          <t>COVER,MAIN,CIRCUIT,TOP 7.2kV,VL</t>
        </is>
      </c>
      <c r="D134" s="34" t="n">
        <v>219</v>
      </c>
      <c r="E134" s="35" t="n">
        <v>825192</v>
      </c>
      <c r="F134" s="36" t="n">
        <v>825192</v>
      </c>
      <c r="G134" s="33" t="inlineStr"/>
    </row>
    <row r="135" ht="17" customHeight="1">
      <c r="A135" s="38" t="inlineStr"/>
      <c r="B135" s="32" t="inlineStr">
        <is>
          <t>64613172016</t>
        </is>
      </c>
      <c r="C135" s="33" t="inlineStr">
        <is>
          <t>COVER,MAIN CIRCUIT,TOP 17.5kV,VL</t>
        </is>
      </c>
      <c r="D135" s="34" t="n">
        <v>291</v>
      </c>
      <c r="E135" s="35" t="n">
        <v>684432</v>
      </c>
      <c r="F135" s="36" t="n">
        <v>684432</v>
      </c>
      <c r="G135" s="33" t="inlineStr"/>
    </row>
    <row r="136" ht="17" customHeight="1">
      <c r="A136" s="38" t="inlineStr"/>
      <c r="B136" s="32" t="inlineStr">
        <is>
          <t>64613461601</t>
        </is>
      </c>
      <c r="C136" s="33" t="inlineStr">
        <is>
          <t>COVER,FRONT,DDH/DDV-D</t>
        </is>
      </c>
      <c r="D136" s="34" t="n">
        <v>68</v>
      </c>
      <c r="E136" s="35" t="n">
        <v>578544</v>
      </c>
      <c r="F136" s="36" t="n">
        <v>578544</v>
      </c>
      <c r="G136" s="33" t="inlineStr"/>
    </row>
    <row r="137" ht="17" customHeight="1">
      <c r="A137" s="38" t="inlineStr"/>
      <c r="B137" s="32" t="inlineStr">
        <is>
          <t>64613172024</t>
        </is>
      </c>
      <c r="C137" s="33" t="inlineStr">
        <is>
          <t>COVER,MAIN CIRCUIT,24kV 16kA,1250A,VL</t>
        </is>
      </c>
      <c r="D137" s="34" t="n">
        <v>15</v>
      </c>
      <c r="E137" s="35" t="n">
        <v>572340</v>
      </c>
      <c r="F137" s="36" t="n">
        <v>572340</v>
      </c>
      <c r="G137" s="33" t="inlineStr"/>
    </row>
    <row r="138" ht="17" customHeight="1">
      <c r="A138" s="38" t="inlineStr"/>
      <c r="B138" s="32" t="inlineStr">
        <is>
          <t>64613172803</t>
        </is>
      </c>
      <c r="C138" s="33" t="inlineStr">
        <is>
          <t>COVER,MAIN,CIRCUIT,METASOL,VL</t>
        </is>
      </c>
      <c r="D138" s="34" t="n">
        <v>81</v>
      </c>
      <c r="E138" s="35" t="n">
        <v>559872</v>
      </c>
      <c r="F138" s="36" t="n">
        <v>559872</v>
      </c>
      <c r="G138" s="33" t="inlineStr"/>
    </row>
    <row r="139" ht="17" customHeight="1">
      <c r="A139" s="38" t="inlineStr"/>
      <c r="B139" s="32" t="inlineStr">
        <is>
          <t>68163172001</t>
        </is>
      </c>
      <c r="C139" s="33" t="inlineStr">
        <is>
          <t>TUBE,INSULATION,D35,VL</t>
        </is>
      </c>
      <c r="D139" s="34" t="n">
        <v>120</v>
      </c>
      <c r="E139" s="35" t="n">
        <v>542160</v>
      </c>
      <c r="F139" s="36" t="n">
        <v>542160</v>
      </c>
      <c r="G139" s="33" t="inlineStr"/>
    </row>
    <row r="140" ht="17" customHeight="1">
      <c r="A140" s="38" t="inlineStr"/>
      <c r="B140" s="32" t="inlineStr">
        <is>
          <t>64623172015</t>
        </is>
      </c>
      <c r="C140" s="33" t="inlineStr">
        <is>
          <t>COVER ASS'Y,MAIN CIRCUIT,17.5kV,310,H,VL</t>
        </is>
      </c>
      <c r="D140" s="34" t="n">
        <v>60</v>
      </c>
      <c r="E140" s="35" t="n">
        <v>513480</v>
      </c>
      <c r="F140" s="36" t="n">
        <v>513480</v>
      </c>
      <c r="G140" s="33" t="inlineStr"/>
    </row>
    <row r="141" ht="17" customHeight="1">
      <c r="A141" s="38" t="inlineStr"/>
      <c r="B141" s="32" t="inlineStr">
        <is>
          <t>64613173040</t>
        </is>
      </c>
      <c r="C141" s="33" t="inlineStr">
        <is>
          <t>COVER,TOP,40kA,3150A,H,VH</t>
        </is>
      </c>
      <c r="D141" s="34" t="n">
        <v>102</v>
      </c>
      <c r="E141" s="35" t="n">
        <v>510918</v>
      </c>
      <c r="F141" s="36" t="n">
        <v>510918</v>
      </c>
      <c r="G141" s="33" t="inlineStr"/>
    </row>
    <row r="142" ht="17" customHeight="1">
      <c r="A142" s="38" t="inlineStr"/>
      <c r="B142" s="32" t="inlineStr">
        <is>
          <t>64613460105</t>
        </is>
      </c>
      <c r="C142" s="33" t="inlineStr">
        <is>
          <t>COVER,GAP,AN AS-DEFG,v2</t>
        </is>
      </c>
      <c r="D142" s="34" t="n">
        <v>1000</v>
      </c>
      <c r="E142" s="35" t="n">
        <v>498000</v>
      </c>
      <c r="F142" s="36" t="n">
        <v>498000</v>
      </c>
      <c r="G142" s="33" t="inlineStr"/>
    </row>
    <row r="143" ht="17" customHeight="1">
      <c r="A143" s="38" t="inlineStr"/>
      <c r="B143" s="32" t="inlineStr">
        <is>
          <t>64613172801</t>
        </is>
      </c>
      <c r="C143" s="33" t="inlineStr">
        <is>
          <t>COVER,FRONT,METASOL,VL</t>
        </is>
      </c>
      <c r="D143" s="34" t="n">
        <v>27</v>
      </c>
      <c r="E143" s="35" t="n">
        <v>390636</v>
      </c>
      <c r="F143" s="36" t="n">
        <v>390636</v>
      </c>
      <c r="G143" s="33" t="inlineStr"/>
    </row>
    <row r="144" ht="17" customHeight="1">
      <c r="A144" s="38" t="inlineStr"/>
      <c r="B144" s="32" t="inlineStr">
        <is>
          <t>64613172080</t>
        </is>
      </c>
      <c r="C144" s="33" t="inlineStr">
        <is>
          <t>COVER,FRONT,M.C.,VL</t>
        </is>
      </c>
      <c r="D144" s="34" t="n">
        <v>20</v>
      </c>
      <c r="E144" s="35" t="n">
        <v>372280</v>
      </c>
      <c r="F144" s="36" t="n">
        <v>372280</v>
      </c>
      <c r="G144" s="33" t="inlineStr"/>
    </row>
    <row r="145" ht="17" customHeight="1">
      <c r="A145" s="38" t="inlineStr"/>
      <c r="B145" s="32" t="inlineStr">
        <is>
          <t>55113173001</t>
        </is>
      </c>
      <c r="C145" s="33" t="inlineStr">
        <is>
          <t>GUIDE,LV6P,VHH,24kV 25/31.5/40kA</t>
        </is>
      </c>
      <c r="D145" s="34" t="n">
        <v>51</v>
      </c>
      <c r="E145" s="35" t="n">
        <v>336447</v>
      </c>
      <c r="F145" s="36" t="n">
        <v>336447</v>
      </c>
      <c r="G145" s="33" t="inlineStr"/>
    </row>
    <row r="146" ht="17" customHeight="1">
      <c r="A146" s="38" t="inlineStr"/>
      <c r="B146" s="32" t="inlineStr">
        <is>
          <t>64613172022</t>
        </is>
      </c>
      <c r="C146" s="33" t="inlineStr">
        <is>
          <t>COVER,MAIN CIRCUIT,24kV,25kA,2000A,VL</t>
        </is>
      </c>
      <c r="D146" s="34" t="n">
        <v>9</v>
      </c>
      <c r="E146" s="35" t="n">
        <v>304146</v>
      </c>
      <c r="F146" s="36" t="n">
        <v>304146</v>
      </c>
      <c r="G146" s="33" t="inlineStr"/>
    </row>
    <row r="147" ht="17" customHeight="1">
      <c r="A147" s="38" t="inlineStr"/>
      <c r="B147" s="32" t="inlineStr">
        <is>
          <t>64623173004</t>
        </is>
      </c>
      <c r="C147" s="33" t="inlineStr">
        <is>
          <t>COVER ASS'Y,MOLD,SUSOL,HQ</t>
        </is>
      </c>
      <c r="D147" s="34" t="n">
        <v>17</v>
      </c>
      <c r="E147" s="35" t="n">
        <v>269875</v>
      </c>
      <c r="F147" s="36" t="n">
        <v>269875</v>
      </c>
      <c r="G147" s="33" t="inlineStr"/>
    </row>
    <row r="148" ht="17" customHeight="1">
      <c r="A148" s="38" t="inlineStr"/>
      <c r="B148" s="32" t="inlineStr">
        <is>
          <t>64613172032</t>
        </is>
      </c>
      <c r="C148" s="33" t="inlineStr">
        <is>
          <t>COVER,MAIN CIRCUIT,24kV,VL,GVB</t>
        </is>
      </c>
      <c r="D148" s="34" t="n">
        <v>12</v>
      </c>
      <c r="E148" s="35" t="n">
        <v>262620</v>
      </c>
      <c r="F148" s="36" t="n">
        <v>262620</v>
      </c>
      <c r="G148" s="33" t="inlineStr"/>
    </row>
    <row r="149" ht="17" customHeight="1">
      <c r="A149" s="38" t="inlineStr"/>
      <c r="B149" s="32" t="inlineStr">
        <is>
          <t>58413143220</t>
        </is>
      </c>
      <c r="C149" s="33" t="inlineStr">
        <is>
          <t>PLATE,SHUTTER,PRO-MEC 17.5kV 40kA</t>
        </is>
      </c>
      <c r="D149" s="34" t="n">
        <v>74</v>
      </c>
      <c r="E149" s="35" t="n">
        <v>226958</v>
      </c>
      <c r="F149" s="36" t="n">
        <v>226958</v>
      </c>
      <c r="G149" s="33" t="inlineStr"/>
    </row>
    <row r="150" ht="17" customHeight="1">
      <c r="A150" s="38" t="inlineStr"/>
      <c r="B150" s="32" t="inlineStr">
        <is>
          <t>64613462003</t>
        </is>
      </c>
      <c r="C150" s="33" t="inlineStr">
        <is>
          <t>COVER,AUX 20,AN,AH-F4</t>
        </is>
      </c>
      <c r="D150" s="34" t="n">
        <v>100</v>
      </c>
      <c r="E150" s="35" t="n">
        <v>225400</v>
      </c>
      <c r="F150" s="36" t="n">
        <v>225400</v>
      </c>
      <c r="G150" s="33" t="inlineStr"/>
    </row>
    <row r="151" ht="17" customHeight="1">
      <c r="A151" s="38" t="inlineStr"/>
      <c r="B151" s="32" t="inlineStr">
        <is>
          <t>64613461033</t>
        </is>
      </c>
      <c r="C151" s="33" t="inlineStr">
        <is>
          <t>COVER,FRONT 20P3,AH-D,v2,(D4)</t>
        </is>
      </c>
      <c r="D151" s="34" t="n">
        <v>21</v>
      </c>
      <c r="E151" s="35" t="n">
        <v>219345</v>
      </c>
      <c r="F151" s="36" t="n">
        <v>219345</v>
      </c>
      <c r="G151" s="33" t="inlineStr"/>
    </row>
    <row r="152" ht="17" customHeight="1">
      <c r="A152" s="38" t="inlineStr"/>
      <c r="B152" s="32" t="inlineStr">
        <is>
          <t>67613173015</t>
        </is>
      </c>
      <c r="C152" s="33" t="inlineStr">
        <is>
          <t>INSULATION,TOP COVER24,VHH,24kV 25/31.5/40kA</t>
        </is>
      </c>
      <c r="D152" s="34" t="n">
        <v>33</v>
      </c>
      <c r="E152" s="35" t="n">
        <v>196812</v>
      </c>
      <c r="F152" s="36" t="n">
        <v>196812</v>
      </c>
      <c r="G152" s="33" t="inlineStr"/>
    </row>
    <row r="153" ht="17" customHeight="1">
      <c r="A153" s="38" t="inlineStr"/>
      <c r="B153" s="32" t="inlineStr">
        <is>
          <t>64613464031</t>
        </is>
      </c>
      <c r="C153" s="33" t="inlineStr">
        <is>
          <t>COVER,AUX 40,AN,AH-E4G4,v2</t>
        </is>
      </c>
      <c r="D153" s="34" t="n">
        <v>42</v>
      </c>
      <c r="E153" s="35" t="n">
        <v>181944</v>
      </c>
      <c r="F153" s="36" t="n">
        <v>181944</v>
      </c>
      <c r="G153" s="33" t="inlineStr"/>
    </row>
    <row r="154" ht="17" customHeight="1">
      <c r="A154" s="38" t="inlineStr"/>
      <c r="B154" s="32" t="inlineStr">
        <is>
          <t>64613465002</t>
        </is>
      </c>
      <c r="C154" s="33" t="inlineStr">
        <is>
          <t>COVER,AUX 63,AN AH-EG</t>
        </is>
      </c>
      <c r="D154" s="34" t="n">
        <v>25</v>
      </c>
      <c r="E154" s="35" t="n">
        <v>170125</v>
      </c>
      <c r="F154" s="36" t="n">
        <v>170125</v>
      </c>
      <c r="G154" s="33" t="inlineStr"/>
    </row>
    <row r="155" ht="17" customHeight="1">
      <c r="A155" s="38" t="inlineStr"/>
      <c r="B155" s="32" t="inlineStr">
        <is>
          <t>64621175289</t>
        </is>
      </c>
      <c r="C155" s="33" t="inlineStr">
        <is>
          <t>COVER ASS'Y,AUX 2P,UTE100,PDB</t>
        </is>
      </c>
      <c r="D155" s="34" t="n">
        <v>127</v>
      </c>
      <c r="E155" s="35" t="n">
        <v>157099</v>
      </c>
      <c r="F155" s="36" t="n">
        <v>157099</v>
      </c>
      <c r="G155" s="33" t="inlineStr"/>
    </row>
    <row r="156" ht="17" customHeight="1">
      <c r="A156" s="38" t="inlineStr"/>
      <c r="B156" s="32" t="inlineStr">
        <is>
          <t>64723460504</t>
        </is>
      </c>
      <c r="C156" s="33" t="inlineStr">
        <is>
          <t>DOOR ASS'Y,FRAME FIXED,(WEG)</t>
        </is>
      </c>
      <c r="D156" s="34" t="n">
        <v>20</v>
      </c>
      <c r="E156" s="35" t="n">
        <v>133000</v>
      </c>
      <c r="F156" s="36" t="n">
        <v>133000</v>
      </c>
      <c r="G156" s="33" t="inlineStr"/>
    </row>
    <row r="157" ht="17" customHeight="1">
      <c r="A157" s="38" t="inlineStr"/>
      <c r="B157" s="32" t="inlineStr">
        <is>
          <t>64613172019</t>
        </is>
      </c>
      <c r="C157" s="33" t="inlineStr">
        <is>
          <t>COVER,MAIN,CIRCUIT,310,D79,VL</t>
        </is>
      </c>
      <c r="D157" s="34" t="n">
        <v>12</v>
      </c>
      <c r="E157" s="35" t="n">
        <v>125328</v>
      </c>
      <c r="F157" s="36" t="n">
        <v>125328</v>
      </c>
      <c r="G157" s="33" t="inlineStr"/>
    </row>
    <row r="158" ht="17" customHeight="1">
      <c r="A158" s="38" t="inlineStr"/>
      <c r="B158" s="32" t="inlineStr">
        <is>
          <t>64613463605</t>
        </is>
      </c>
      <c r="C158" s="33" t="inlineStr">
        <is>
          <t>COVER,FRONT,DC,(E3)</t>
        </is>
      </c>
      <c r="D158" s="34" t="n">
        <v>15</v>
      </c>
      <c r="E158" s="35" t="n">
        <v>118560</v>
      </c>
      <c r="F158" s="36" t="n">
        <v>118560</v>
      </c>
      <c r="G158" s="33" t="inlineStr"/>
    </row>
    <row r="159" ht="17" customHeight="1">
      <c r="A159" s="38" t="inlineStr"/>
      <c r="B159" s="32" t="inlineStr">
        <is>
          <t>64621172073</t>
        </is>
      </c>
      <c r="C159" s="33" t="inlineStr">
        <is>
          <t>COVER ASS'Y,AUX 3P,UTS250,PDB</t>
        </is>
      </c>
      <c r="D159" s="34" t="n">
        <v>96</v>
      </c>
      <c r="E159" s="35" t="n">
        <v>114144</v>
      </c>
      <c r="F159" s="36" t="n">
        <v>114144</v>
      </c>
      <c r="G159" s="33" t="inlineStr"/>
    </row>
    <row r="160" ht="17" customHeight="1">
      <c r="A160" s="38" t="inlineStr"/>
      <c r="B160" s="32" t="inlineStr">
        <is>
          <t>64621175288</t>
        </is>
      </c>
      <c r="C160" s="33" t="inlineStr">
        <is>
          <t>COVER ASS'Y,AUX 3P,UTE100,PDB</t>
        </is>
      </c>
      <c r="D160" s="34" t="n">
        <v>67</v>
      </c>
      <c r="E160" s="35" t="n">
        <v>90048</v>
      </c>
      <c r="F160" s="36" t="n">
        <v>90048</v>
      </c>
      <c r="G160" s="33" t="inlineStr"/>
    </row>
    <row r="161" ht="17" customHeight="1">
      <c r="A161" s="38" t="inlineStr"/>
      <c r="B161" s="32" t="inlineStr">
        <is>
          <t>64613462031</t>
        </is>
      </c>
      <c r="C161" s="33" t="inlineStr">
        <is>
          <t>COVER,AUX 20,AH-D4,v2</t>
        </is>
      </c>
      <c r="D161" s="34" t="n">
        <v>23</v>
      </c>
      <c r="E161" s="35" t="n">
        <v>85031</v>
      </c>
      <c r="F161" s="36" t="n">
        <v>85031</v>
      </c>
      <c r="G161" s="33" t="inlineStr"/>
    </row>
    <row r="162" ht="17" customHeight="1">
      <c r="A162" s="38" t="inlineStr"/>
      <c r="B162" s="32" t="inlineStr">
        <is>
          <t>64613172033</t>
        </is>
      </c>
      <c r="C162" s="33" t="inlineStr">
        <is>
          <t>COVER,MAIN CIRCUIT,TOP,24kV,VL,GVB</t>
        </is>
      </c>
      <c r="D162" s="34" t="n">
        <v>12</v>
      </c>
      <c r="E162" s="35" t="n">
        <v>79704</v>
      </c>
      <c r="F162" s="36" t="n">
        <v>79704</v>
      </c>
      <c r="G162" s="33" t="inlineStr"/>
    </row>
    <row r="163" ht="17" customHeight="1">
      <c r="A163" s="38" t="inlineStr"/>
      <c r="B163" s="32" t="inlineStr">
        <is>
          <t>64613172031</t>
        </is>
      </c>
      <c r="C163" s="33" t="inlineStr">
        <is>
          <t>COVER,MAIN CIRCUIT,24kV,25kA,2500A,VL</t>
        </is>
      </c>
      <c r="D163" s="34" t="n">
        <v>6</v>
      </c>
      <c r="E163" s="35" t="n">
        <v>79284</v>
      </c>
      <c r="F163" s="36" t="n">
        <v>79284</v>
      </c>
      <c r="G163" s="33" t="inlineStr"/>
    </row>
    <row r="164" ht="17" customHeight="1">
      <c r="A164" s="38" t="inlineStr"/>
      <c r="B164" s="32" t="inlineStr">
        <is>
          <t>64613172807</t>
        </is>
      </c>
      <c r="C164" s="33" t="inlineStr">
        <is>
          <t>COVER,FRONT,MT,VL,WEG</t>
        </is>
      </c>
      <c r="D164" s="34" t="n">
        <v>6</v>
      </c>
      <c r="E164" s="35" t="n">
        <v>78546</v>
      </c>
      <c r="F164" s="36" t="n">
        <v>78546</v>
      </c>
      <c r="G164" s="33" t="inlineStr"/>
    </row>
    <row r="165" ht="17" customHeight="1">
      <c r="A165" s="38" t="inlineStr"/>
      <c r="B165" s="32" t="inlineStr">
        <is>
          <t>80573172014</t>
        </is>
      </c>
      <c r="C165" s="33" t="inlineStr">
        <is>
          <t>PACKING ASS'Y,GUIDE,VI,CKD,90EA</t>
        </is>
      </c>
      <c r="D165" s="34" t="n">
        <v>4</v>
      </c>
      <c r="E165" s="35" t="n">
        <v>78140</v>
      </c>
      <c r="F165" s="36" t="n">
        <v>78140</v>
      </c>
      <c r="G165" s="33" t="inlineStr"/>
    </row>
    <row r="166" ht="17" customHeight="1">
      <c r="A166" s="38" t="inlineStr"/>
      <c r="B166" s="32" t="inlineStr">
        <is>
          <t>64613172018</t>
        </is>
      </c>
      <c r="C166" s="33" t="inlineStr">
        <is>
          <t>COVER,MAIN CIRCUIT,295,VL</t>
        </is>
      </c>
      <c r="D166" s="34" t="n">
        <v>6</v>
      </c>
      <c r="E166" s="35" t="n">
        <v>62064</v>
      </c>
      <c r="F166" s="36" t="n">
        <v>62064</v>
      </c>
      <c r="G166" s="33" t="inlineStr"/>
    </row>
    <row r="167" ht="17" customHeight="1">
      <c r="A167" s="38" t="inlineStr"/>
      <c r="B167" s="32" t="inlineStr">
        <is>
          <t>80573172056</t>
        </is>
      </c>
      <c r="C167" s="33" t="inlineStr">
        <is>
          <t>PACKING ASS'Y,LINK,T,DRAWOUT INTERLOCK,CKD,30EA</t>
        </is>
      </c>
      <c r="D167" s="34" t="n">
        <v>5</v>
      </c>
      <c r="E167" s="35" t="n">
        <v>52765</v>
      </c>
      <c r="F167" s="36" t="n">
        <v>52765</v>
      </c>
      <c r="G167" s="33" t="inlineStr"/>
    </row>
    <row r="168" ht="17" customHeight="1">
      <c r="A168" s="38" t="inlineStr"/>
      <c r="B168" s="32" t="inlineStr">
        <is>
          <t>64623142002</t>
        </is>
      </c>
      <c r="C168" s="33" t="inlineStr">
        <is>
          <t>COVER ASS'Y,MOLD,PRO-MEC</t>
        </is>
      </c>
      <c r="D168" s="34" t="n">
        <v>3</v>
      </c>
      <c r="E168" s="35" t="n">
        <v>51720</v>
      </c>
      <c r="F168" s="36" t="n">
        <v>51720</v>
      </c>
      <c r="G168" s="33" t="inlineStr"/>
    </row>
    <row r="169" ht="17" customHeight="1">
      <c r="A169" s="38" t="inlineStr"/>
      <c r="B169" s="32" t="inlineStr">
        <is>
          <t>64613464003</t>
        </is>
      </c>
      <c r="C169" s="33" t="inlineStr">
        <is>
          <t>COVER,AUX 40,AN,AH-G4</t>
        </is>
      </c>
      <c r="D169" s="34" t="n">
        <v>15</v>
      </c>
      <c r="E169" s="35" t="n">
        <v>41370</v>
      </c>
      <c r="F169" s="36" t="n">
        <v>41370</v>
      </c>
      <c r="G169" s="33" t="inlineStr"/>
    </row>
    <row r="170" ht="17" customHeight="1">
      <c r="A170" s="38" t="inlineStr"/>
      <c r="B170" s="32" t="inlineStr">
        <is>
          <t>64613172090</t>
        </is>
      </c>
      <c r="C170" s="33" t="inlineStr">
        <is>
          <t>COVER,FRONT,M,UVL</t>
        </is>
      </c>
      <c r="D170" s="34" t="n">
        <v>2</v>
      </c>
      <c r="E170" s="35" t="n">
        <v>35088</v>
      </c>
      <c r="F170" s="36" t="n">
        <v>35088</v>
      </c>
      <c r="G170" s="33" t="inlineStr"/>
    </row>
    <row r="171" ht="17" customHeight="1">
      <c r="A171" s="38" t="inlineStr"/>
      <c r="B171" s="32" t="inlineStr">
        <is>
          <t>67613173101</t>
        </is>
      </c>
      <c r="C171" s="33" t="inlineStr">
        <is>
          <t>INSULATION,FIXED PIN,17.5kV,4000A</t>
        </is>
      </c>
      <c r="D171" s="34" t="n">
        <v>64</v>
      </c>
      <c r="E171" s="35" t="n">
        <v>34816</v>
      </c>
      <c r="F171" s="36" t="n">
        <v>34816</v>
      </c>
      <c r="G171" s="33" t="inlineStr"/>
    </row>
    <row r="172" ht="17" customHeight="1">
      <c r="A172" s="38" t="inlineStr"/>
      <c r="B172" s="32" t="inlineStr">
        <is>
          <t>68163172003</t>
        </is>
      </c>
      <c r="C172" s="33" t="inlineStr">
        <is>
          <t>TUBE,INSULATION,D35,310,VL</t>
        </is>
      </c>
      <c r="D172" s="34" t="n">
        <v>6</v>
      </c>
      <c r="E172" s="35" t="n">
        <v>33660</v>
      </c>
      <c r="F172" s="36" t="n">
        <v>33660</v>
      </c>
      <c r="G172" s="33" t="inlineStr"/>
    </row>
    <row r="173" ht="17" customHeight="1">
      <c r="A173" s="38" t="inlineStr"/>
      <c r="B173" s="32" t="inlineStr">
        <is>
          <t>64613172020</t>
        </is>
      </c>
      <c r="C173" s="33" t="inlineStr">
        <is>
          <t>COVER,MAIN CIRCUIT,TOP,17.5kV,D79,VL</t>
        </is>
      </c>
      <c r="D173" s="34" t="n">
        <v>12</v>
      </c>
      <c r="E173" s="35" t="n">
        <v>32664</v>
      </c>
      <c r="F173" s="36" t="n">
        <v>32664</v>
      </c>
      <c r="G173" s="33" t="inlineStr"/>
    </row>
    <row r="174" ht="17" customHeight="1">
      <c r="A174" s="38" t="inlineStr"/>
      <c r="B174" s="32" t="inlineStr">
        <is>
          <t>64613464033</t>
        </is>
      </c>
      <c r="C174" s="33" t="inlineStr">
        <is>
          <t>COVER,AUX 40,AN,AH-G4,v2</t>
        </is>
      </c>
      <c r="D174" s="34" t="n">
        <v>5</v>
      </c>
      <c r="E174" s="35" t="n">
        <v>23275</v>
      </c>
      <c r="F174" s="36" t="n">
        <v>23275</v>
      </c>
      <c r="G174" s="33" t="inlineStr"/>
    </row>
    <row r="175" ht="17" customHeight="1">
      <c r="A175" s="38" t="inlineStr"/>
      <c r="B175" s="32" t="inlineStr">
        <is>
          <t>64613172011</t>
        </is>
      </c>
      <c r="C175" s="33" t="inlineStr">
        <is>
          <t>COVER,MAIN CIRCUIT,310,VL</t>
        </is>
      </c>
      <c r="D175" s="34" t="n">
        <v>3</v>
      </c>
      <c r="E175" s="35" t="n">
        <v>21474</v>
      </c>
      <c r="F175" s="36" t="n">
        <v>21474</v>
      </c>
      <c r="G175" s="33" t="inlineStr"/>
    </row>
    <row r="176" ht="17" customHeight="1">
      <c r="A176" s="38" t="inlineStr"/>
      <c r="B176" s="32" t="inlineStr">
        <is>
          <t>61463173001</t>
        </is>
      </c>
      <c r="C176" s="33" t="inlineStr">
        <is>
          <t>SPACER,TERMINAL SUPPORTER(S)</t>
        </is>
      </c>
      <c r="D176" s="34" t="n">
        <v>54</v>
      </c>
      <c r="E176" s="35" t="n">
        <v>10800</v>
      </c>
      <c r="F176" s="36" t="n">
        <v>10800</v>
      </c>
      <c r="G176" s="33" t="inlineStr"/>
    </row>
    <row r="177" ht="17" customHeight="1">
      <c r="A177" s="38" t="inlineStr"/>
      <c r="B177" s="32" t="inlineStr">
        <is>
          <t>50613731002</t>
        </is>
      </c>
      <c r="C177" s="33" t="inlineStr">
        <is>
          <t>BUTTON,OFF,VC</t>
        </is>
      </c>
      <c r="D177" s="34" t="n">
        <v>6</v>
      </c>
      <c r="E177" s="35" t="n">
        <v>648</v>
      </c>
      <c r="F177" s="36" t="n">
        <v>648</v>
      </c>
      <c r="G177" s="33" t="inlineStr"/>
    </row>
    <row r="178" ht="17" customHeight="1">
      <c r="A178" s="39" t="inlineStr">
        <is>
          <t>MCM</t>
        </is>
      </c>
      <c r="B178" s="40" t="inlineStr">
        <is>
          <t>A11-614-0</t>
        </is>
      </c>
      <c r="C178" s="41" t="inlineStr">
        <is>
          <t>FILTER BODY (ATCR)</t>
        </is>
      </c>
      <c r="D178" s="42" t="n">
        <v>67200</v>
      </c>
      <c r="E178" s="43" t="n">
        <v>28089600</v>
      </c>
      <c r="F178" s="53" t="n">
        <v>-918400</v>
      </c>
      <c r="G178" s="41" t="inlineStr"/>
    </row>
    <row r="179" ht="17" customHeight="1">
      <c r="A179" s="46" t="inlineStr"/>
      <c r="B179" s="40" t="inlineStr">
        <is>
          <t>A11-615-0</t>
        </is>
      </c>
      <c r="C179" s="41" t="inlineStr">
        <is>
          <t>FILTER BODY (12인치)</t>
        </is>
      </c>
      <c r="D179" s="42" t="n">
        <v>22260</v>
      </c>
      <c r="E179" s="43" t="n">
        <v>16695000</v>
      </c>
      <c r="F179" s="44" t="n">
        <v>16695000</v>
      </c>
      <c r="G179" s="41" t="inlineStr"/>
    </row>
    <row r="180" ht="17" customHeight="1">
      <c r="A180" s="46" t="inlineStr"/>
      <c r="B180" s="40" t="inlineStr">
        <is>
          <t>A12-110-0</t>
        </is>
      </c>
      <c r="C180" s="41" t="inlineStr">
        <is>
          <t>CAP FILTER - N</t>
        </is>
      </c>
      <c r="D180" s="42" t="n">
        <v>96000</v>
      </c>
      <c r="E180" s="43" t="n">
        <v>15648000</v>
      </c>
      <c r="F180" s="44" t="n">
        <v>752000</v>
      </c>
      <c r="G180" s="41" t="inlineStr"/>
    </row>
    <row r="181" ht="17" customHeight="1">
      <c r="A181" s="46" t="inlineStr"/>
      <c r="B181" s="40" t="inlineStr">
        <is>
          <t>A14-167-1</t>
        </is>
      </c>
      <c r="C181" s="41" t="inlineStr">
        <is>
          <t>FRONT COVER</t>
        </is>
      </c>
      <c r="D181" s="42" t="n">
        <v>46500</v>
      </c>
      <c r="E181" s="43" t="n">
        <v>6510000</v>
      </c>
      <c r="F181" s="44" t="n">
        <v>3135000</v>
      </c>
      <c r="G181" s="41" t="inlineStr"/>
    </row>
    <row r="182" ht="17" customHeight="1">
      <c r="A182" s="46" t="inlineStr"/>
      <c r="B182" s="40" t="inlineStr">
        <is>
          <t>A14-166-2</t>
        </is>
      </c>
      <c r="C182" s="41" t="inlineStr">
        <is>
          <t>BACK BASE BKT</t>
        </is>
      </c>
      <c r="D182" s="42" t="n">
        <v>9800</v>
      </c>
      <c r="E182" s="43" t="n">
        <v>4547200</v>
      </c>
      <c r="F182" s="44" t="n">
        <v>333200</v>
      </c>
      <c r="G182" s="41" t="inlineStr"/>
    </row>
    <row r="183" ht="17" customHeight="1">
      <c r="A183" s="46" t="inlineStr"/>
      <c r="B183" s="40" t="inlineStr">
        <is>
          <t>A11-613-1</t>
        </is>
      </c>
      <c r="C183" s="41" t="inlineStr">
        <is>
          <t>HANDLE</t>
        </is>
      </c>
      <c r="D183" s="42" t="n">
        <v>36000</v>
      </c>
      <c r="E183" s="43" t="n">
        <v>4500000</v>
      </c>
      <c r="F183" s="44" t="n">
        <v>4500000</v>
      </c>
      <c r="G183" s="41" t="inlineStr"/>
    </row>
    <row r="184" ht="17" customHeight="1">
      <c r="A184" s="46" t="inlineStr"/>
      <c r="B184" s="40" t="inlineStr">
        <is>
          <t>A11-150-0</t>
        </is>
      </c>
      <c r="C184" s="41" t="inlineStr">
        <is>
          <t>FILTER BODY (TCR)</t>
        </is>
      </c>
      <c r="D184" s="42" t="n">
        <v>3240</v>
      </c>
      <c r="E184" s="43" t="n">
        <v>1192320</v>
      </c>
      <c r="F184" s="53" t="n">
        <v>-2816640</v>
      </c>
      <c r="G184" s="41" t="inlineStr"/>
    </row>
    <row r="185" ht="17" customHeight="1">
      <c r="A185" s="46" t="inlineStr"/>
      <c r="B185" s="40" t="inlineStr">
        <is>
          <t>A14-168-1</t>
        </is>
      </c>
      <c r="C185" s="41" t="inlineStr">
        <is>
          <t>BACK BASE BKT(2STAGE)</t>
        </is>
      </c>
      <c r="D185" s="42" t="n">
        <v>1650</v>
      </c>
      <c r="E185" s="43" t="n">
        <v>610500</v>
      </c>
      <c r="F185" s="44" t="n">
        <v>33000</v>
      </c>
      <c r="G185" s="41" t="inlineStr"/>
    </row>
    <row r="186" ht="17" customHeight="1">
      <c r="A186" s="46" t="inlineStr"/>
      <c r="B186" s="40" t="inlineStr">
        <is>
          <t>A14-129-0</t>
        </is>
      </c>
      <c r="C186" s="41" t="inlineStr">
        <is>
          <t>COVER FRONT</t>
        </is>
      </c>
      <c r="D186" s="42" t="n">
        <v>198</v>
      </c>
      <c r="E186" s="43" t="n">
        <v>257400</v>
      </c>
      <c r="F186" s="44" t="n">
        <v>257400</v>
      </c>
      <c r="G186" s="41" t="inlineStr"/>
    </row>
    <row r="187" ht="17" customHeight="1">
      <c r="A187" s="46" t="inlineStr"/>
      <c r="B187" s="40" t="inlineStr">
        <is>
          <t>A14-130-0</t>
        </is>
      </c>
      <c r="C187" s="41" t="inlineStr">
        <is>
          <t>COVER FRONT-FAN</t>
        </is>
      </c>
      <c r="D187" s="42" t="n">
        <v>435</v>
      </c>
      <c r="E187" s="43" t="n">
        <v>217500</v>
      </c>
      <c r="F187" s="44" t="n">
        <v>217500</v>
      </c>
      <c r="G187" s="41" t="inlineStr"/>
    </row>
    <row r="188" ht="17" customHeight="1">
      <c r="A188" s="31" t="inlineStr">
        <is>
          <t>새한전자</t>
        </is>
      </c>
      <c r="B188" s="32" t="inlineStr">
        <is>
          <t>54611636001</t>
        </is>
      </c>
      <c r="C188" s="33" t="inlineStr">
        <is>
          <t>FRAME,UPPER Metasol,MC-9b~22b</t>
        </is>
      </c>
      <c r="D188" s="34" t="n">
        <v>69600</v>
      </c>
      <c r="E188" s="35" t="n">
        <v>29162400</v>
      </c>
      <c r="F188" s="36" t="n">
        <v>29162400</v>
      </c>
      <c r="G188" s="33" t="inlineStr"/>
    </row>
    <row r="189" ht="17" customHeight="1">
      <c r="A189" s="38" t="inlineStr"/>
      <c r="B189" s="32" t="inlineStr">
        <is>
          <t>54611631001</t>
        </is>
      </c>
      <c r="C189" s="33" t="inlineStr">
        <is>
          <t>FRAME,UPPER,MC-32a~40a</t>
        </is>
      </c>
      <c r="D189" s="34" t="n">
        <v>63840</v>
      </c>
      <c r="E189" s="35" t="n">
        <v>25919040</v>
      </c>
      <c r="F189" s="36" t="n">
        <v>25919040</v>
      </c>
      <c r="G189" s="33" t="inlineStr"/>
    </row>
    <row r="190" ht="17" customHeight="1">
      <c r="A190" s="38" t="inlineStr"/>
      <c r="B190" s="32" t="inlineStr">
        <is>
          <t>54611635002</t>
        </is>
      </c>
      <c r="C190" s="33" t="inlineStr">
        <is>
          <t>FRAME,LOWER,MC-6a~22b MR</t>
        </is>
      </c>
      <c r="D190" s="34" t="n">
        <v>61200</v>
      </c>
      <c r="E190" s="35" t="n">
        <v>17625600</v>
      </c>
      <c r="F190" s="36" t="n">
        <v>17625600</v>
      </c>
      <c r="G190" s="33" t="inlineStr"/>
    </row>
    <row r="191" ht="17" customHeight="1">
      <c r="A191" s="39" t="inlineStr">
        <is>
          <t>큐비테크</t>
        </is>
      </c>
      <c r="B191" s="40" t="inlineStr">
        <is>
          <t>HMG2CE100T002EC</t>
        </is>
      </c>
      <c r="C191" s="41" t="inlineStr">
        <is>
          <t>MOLD COVER ELCB HM-RP 68MM</t>
        </is>
      </c>
      <c r="D191" s="42" t="n">
        <v>40800</v>
      </c>
      <c r="E191" s="43" t="n">
        <v>12280800</v>
      </c>
      <c r="F191" s="44" t="n">
        <v>2488800</v>
      </c>
      <c r="G191" s="41" t="inlineStr"/>
    </row>
    <row r="192" ht="17" customHeight="1">
      <c r="A192" s="46" t="inlineStr"/>
      <c r="B192" s="40" t="inlineStr">
        <is>
          <t>HMG2CE100T001EC</t>
        </is>
      </c>
      <c r="C192" s="41" t="inlineStr">
        <is>
          <t>MOLD COVER ELCB HM-RA 68MM</t>
        </is>
      </c>
      <c r="D192" s="42" t="n">
        <v>43285</v>
      </c>
      <c r="E192" s="43" t="n">
        <v>11989945</v>
      </c>
      <c r="F192" s="44" t="n">
        <v>11989945</v>
      </c>
      <c r="G192" s="41" t="inlineStr"/>
    </row>
    <row r="193" ht="17" customHeight="1">
      <c r="A193" s="46" t="inlineStr"/>
      <c r="B193" s="40" t="inlineStr">
        <is>
          <t>HMG2CM050T0001EC</t>
        </is>
      </c>
      <c r="C193" s="41" t="inlineStr">
        <is>
          <t>MOLD COVER MCCB HM-RA 68MM</t>
        </is>
      </c>
      <c r="D193" s="42" t="n">
        <v>30240</v>
      </c>
      <c r="E193" s="43" t="n">
        <v>8316000</v>
      </c>
      <c r="F193" s="44" t="n">
        <v>453600</v>
      </c>
      <c r="G193" s="41" t="inlineStr"/>
    </row>
    <row r="194" ht="17" customHeight="1">
      <c r="A194" s="46" t="inlineStr"/>
      <c r="B194" s="40" t="inlineStr">
        <is>
          <t>1ME-11137</t>
        </is>
      </c>
      <c r="C194" s="41" t="inlineStr">
        <is>
          <t>MOLD BASE HM-S (ELCB)</t>
        </is>
      </c>
      <c r="D194" s="42" t="n">
        <v>7488</v>
      </c>
      <c r="E194" s="43" t="n">
        <v>4717440</v>
      </c>
      <c r="F194" s="44" t="n">
        <v>599040</v>
      </c>
      <c r="G194" s="41" t="inlineStr"/>
    </row>
    <row r="195" ht="17" customHeight="1">
      <c r="A195" s="46" t="inlineStr"/>
      <c r="B195" s="40" t="inlineStr">
        <is>
          <t>1ME-11142</t>
        </is>
      </c>
      <c r="C195" s="41" t="inlineStr">
        <is>
          <t>MOLD BASE 2P 50A ,ELCB</t>
        </is>
      </c>
      <c r="D195" s="42" t="n">
        <v>5104</v>
      </c>
      <c r="E195" s="43" t="n">
        <v>4716096</v>
      </c>
      <c r="F195" s="44" t="n">
        <v>1398496</v>
      </c>
      <c r="G195" s="41" t="inlineStr"/>
    </row>
    <row r="196" ht="17" customHeight="1">
      <c r="A196" s="46" t="inlineStr"/>
      <c r="B196" s="40" t="inlineStr">
        <is>
          <t>GMG-MO-0004</t>
        </is>
      </c>
      <c r="C196" s="41" t="inlineStr">
        <is>
          <t>FRAME HGC50-65B</t>
        </is>
      </c>
      <c r="D196" s="42" t="n">
        <v>4927</v>
      </c>
      <c r="E196" s="43" t="n">
        <v>3202550</v>
      </c>
      <c r="F196" s="44" t="n">
        <v>3202550</v>
      </c>
      <c r="G196" s="41" t="inlineStr"/>
    </row>
    <row r="197" ht="17" customHeight="1">
      <c r="A197" s="46" t="inlineStr"/>
      <c r="B197" s="40" t="inlineStr">
        <is>
          <t>1ME-11140</t>
        </is>
      </c>
      <c r="C197" s="41" t="inlineStr">
        <is>
          <t>MOLD COVER 2P , MCCB</t>
        </is>
      </c>
      <c r="D197" s="42" t="n">
        <v>8160</v>
      </c>
      <c r="E197" s="43" t="n">
        <v>3084480</v>
      </c>
      <c r="F197" s="44" t="n">
        <v>636480</v>
      </c>
      <c r="G197" s="41" t="inlineStr"/>
    </row>
    <row r="198" ht="17" customHeight="1">
      <c r="A198" s="46" t="inlineStr"/>
      <c r="B198" s="40" t="inlineStr">
        <is>
          <t>3ME-08110</t>
        </is>
      </c>
      <c r="C198" s="41" t="inlineStr">
        <is>
          <t>TERMINAL COVER 2P</t>
        </is>
      </c>
      <c r="D198" s="42" t="n">
        <v>14450</v>
      </c>
      <c r="E198" s="43" t="n">
        <v>3077850</v>
      </c>
      <c r="F198" s="44" t="n">
        <v>3077850</v>
      </c>
      <c r="G198" s="41" t="inlineStr"/>
    </row>
    <row r="199" ht="17" customHeight="1">
      <c r="A199" s="46" t="inlineStr"/>
      <c r="B199" s="40" t="inlineStr">
        <is>
          <t>1ME-11136(ELCB)</t>
        </is>
      </c>
      <c r="C199" s="41" t="inlineStr">
        <is>
          <t>MOLD COVER HM-S (ELCB)</t>
        </is>
      </c>
      <c r="D199" s="42" t="n">
        <v>6500</v>
      </c>
      <c r="E199" s="43" t="n">
        <v>1904500</v>
      </c>
      <c r="F199" s="44" t="n">
        <v>604500</v>
      </c>
      <c r="G199" s="41" t="inlineStr"/>
    </row>
    <row r="200" ht="17" customHeight="1">
      <c r="A200" s="46" t="inlineStr"/>
      <c r="B200" s="40" t="inlineStr">
        <is>
          <t>4ME-09614</t>
        </is>
      </c>
      <c r="C200" s="41" t="inlineStr">
        <is>
          <t>LINE BARIRER</t>
        </is>
      </c>
      <c r="D200" s="42" t="n">
        <v>20000</v>
      </c>
      <c r="E200" s="43" t="n">
        <v>1540000</v>
      </c>
      <c r="F200" s="44" t="n">
        <v>940000</v>
      </c>
      <c r="G200" s="41" t="inlineStr"/>
    </row>
    <row r="201" ht="17" customHeight="1">
      <c r="A201" s="46" t="inlineStr"/>
      <c r="B201" s="40" t="inlineStr">
        <is>
          <t>1ME-11146</t>
        </is>
      </c>
      <c r="C201" s="41" t="inlineStr">
        <is>
          <t>MOLD COVER 2P , ELCB</t>
        </is>
      </c>
      <c r="D201" s="42" t="n">
        <v>3840</v>
      </c>
      <c r="E201" s="43" t="n">
        <v>1420800</v>
      </c>
      <c r="F201" s="44" t="n">
        <v>412800</v>
      </c>
      <c r="G201" s="41" t="inlineStr"/>
    </row>
    <row r="202" ht="17" customHeight="1">
      <c r="A202" s="46" t="inlineStr"/>
      <c r="B202" s="40" t="inlineStr">
        <is>
          <t>3ME-08112</t>
        </is>
      </c>
      <c r="C202" s="41" t="inlineStr">
        <is>
          <t>FRONT DOOR -MCCB-2P</t>
        </is>
      </c>
      <c r="D202" s="42" t="n">
        <v>8400</v>
      </c>
      <c r="E202" s="43" t="n">
        <v>1134000</v>
      </c>
      <c r="F202" s="44" t="n">
        <v>374000</v>
      </c>
      <c r="G202" s="41" t="inlineStr"/>
    </row>
    <row r="203" ht="17" customHeight="1">
      <c r="A203" s="46" t="inlineStr"/>
      <c r="B203" s="40" t="inlineStr">
        <is>
          <t>4ME-09621</t>
        </is>
      </c>
      <c r="C203" s="41" t="inlineStr">
        <is>
          <t>INTERPOLE BARRIER</t>
        </is>
      </c>
      <c r="D203" s="42" t="n">
        <v>7500</v>
      </c>
      <c r="E203" s="43" t="n">
        <v>1065000</v>
      </c>
      <c r="F203" s="44" t="n">
        <v>390000</v>
      </c>
      <c r="G203" s="41" t="inlineStr"/>
    </row>
    <row r="204" ht="17" customHeight="1">
      <c r="A204" s="46" t="inlineStr"/>
      <c r="B204" s="40" t="inlineStr">
        <is>
          <t>HMG2CM050T0002EC</t>
        </is>
      </c>
      <c r="C204" s="41" t="inlineStr">
        <is>
          <t>MOLD COVER MCCB HM-RP 68MM</t>
        </is>
      </c>
      <c r="D204" s="42" t="n">
        <v>3360</v>
      </c>
      <c r="E204" s="43" t="n">
        <v>1011360</v>
      </c>
      <c r="F204" s="44" t="n">
        <v>137760</v>
      </c>
      <c r="G204" s="41" t="inlineStr"/>
    </row>
    <row r="205" ht="17" customHeight="1">
      <c r="A205" s="46" t="inlineStr"/>
      <c r="B205" s="40" t="inlineStr">
        <is>
          <t>1ME-11136(MCCB)</t>
        </is>
      </c>
      <c r="C205" s="41" t="inlineStr">
        <is>
          <t>MOLD COVER HM-S (MCCB)</t>
        </is>
      </c>
      <c r="D205" s="42" t="n">
        <v>1950</v>
      </c>
      <c r="E205" s="43" t="n">
        <v>571350</v>
      </c>
      <c r="F205" s="44" t="n">
        <v>181350</v>
      </c>
      <c r="G205" s="41" t="inlineStr"/>
    </row>
    <row r="206" ht="17" customHeight="1">
      <c r="A206" s="46" t="inlineStr"/>
      <c r="B206" s="40" t="inlineStr">
        <is>
          <t>3ME-08114</t>
        </is>
      </c>
      <c r="C206" s="41" t="inlineStr">
        <is>
          <t>FRONT DOOR -ELCB-2P</t>
        </is>
      </c>
      <c r="D206" s="42" t="n">
        <v>1600</v>
      </c>
      <c r="E206" s="43" t="n">
        <v>216000</v>
      </c>
      <c r="F206" s="44" t="n">
        <v>64000</v>
      </c>
      <c r="G206" s="41" t="inlineStr"/>
    </row>
    <row r="207" ht="17" customHeight="1">
      <c r="A207" s="31" t="inlineStr">
        <is>
          <t>승림전자</t>
        </is>
      </c>
      <c r="B207" s="32" t="inlineStr">
        <is>
          <t>GM1-MO-0401</t>
        </is>
      </c>
      <c r="C207" s="33" t="inlineStr">
        <is>
          <t>HGC18 ARC-CHAMBER LOAD</t>
        </is>
      </c>
      <c r="D207" s="34" t="n">
        <v>42240</v>
      </c>
      <c r="E207" s="35" t="n">
        <v>9039360</v>
      </c>
      <c r="F207" s="36" t="n">
        <v>591360</v>
      </c>
      <c r="G207" s="33" t="inlineStr"/>
    </row>
    <row r="208" ht="17" customHeight="1">
      <c r="A208" s="38" t="inlineStr"/>
      <c r="B208" s="32" t="inlineStr">
        <is>
          <t>GM1-MO-0451</t>
        </is>
      </c>
      <c r="C208" s="33" t="inlineStr">
        <is>
          <t>HGC18 ARC-CHAMBER LINE</t>
        </is>
      </c>
      <c r="D208" s="34" t="n">
        <v>41600</v>
      </c>
      <c r="E208" s="35" t="n">
        <v>8902400</v>
      </c>
      <c r="F208" s="36" t="n">
        <v>582400</v>
      </c>
      <c r="G208" s="33" t="inlineStr"/>
    </row>
    <row r="209" ht="17" customHeight="1">
      <c r="A209" s="38" t="inlineStr"/>
      <c r="B209" s="32" t="inlineStr">
        <is>
          <t>GM1-MO-0501</t>
        </is>
      </c>
      <c r="C209" s="33" t="inlineStr">
        <is>
          <t>HGC18 CONTACT BRIDGE AC</t>
        </is>
      </c>
      <c r="D209" s="34" t="n">
        <v>44000</v>
      </c>
      <c r="E209" s="35" t="n">
        <v>7568000</v>
      </c>
      <c r="F209" s="36" t="n">
        <v>968000</v>
      </c>
      <c r="G209" s="33" t="inlineStr"/>
    </row>
    <row r="210" ht="17" customHeight="1">
      <c r="A210" s="38" t="inlineStr"/>
      <c r="B210" s="32" t="inlineStr">
        <is>
          <t>GM1-MO-0402</t>
        </is>
      </c>
      <c r="C210" s="33" t="inlineStr">
        <is>
          <t>HGC18 MAIN-TERMINAL BLOCK LINE</t>
        </is>
      </c>
      <c r="D210" s="34" t="n">
        <v>60000</v>
      </c>
      <c r="E210" s="35" t="n">
        <v>6120000</v>
      </c>
      <c r="F210" s="36" t="n">
        <v>6120000</v>
      </c>
      <c r="G210" s="33" t="inlineStr"/>
    </row>
    <row r="211" ht="17" customHeight="1">
      <c r="A211" s="38" t="inlineStr"/>
      <c r="B211" s="32" t="inlineStr">
        <is>
          <t>GM1-MO-0903</t>
        </is>
      </c>
      <c r="C211" s="33" t="inlineStr">
        <is>
          <t>HGC18 MAIN-PROTECTION COVER</t>
        </is>
      </c>
      <c r="D211" s="34" t="n">
        <v>64000</v>
      </c>
      <c r="E211" s="35" t="n">
        <v>4288000</v>
      </c>
      <c r="F211" s="36" t="n">
        <v>4288000</v>
      </c>
      <c r="G211" s="33" t="inlineStr"/>
    </row>
    <row r="212" ht="17" customHeight="1">
      <c r="A212" s="38" t="inlineStr"/>
      <c r="B212" s="32" t="inlineStr">
        <is>
          <t>GM1-MO-0021</t>
        </is>
      </c>
      <c r="C212" s="33" t="inlineStr">
        <is>
          <t>HGC18 AC FRAME(SPRING)</t>
        </is>
      </c>
      <c r="D212" s="34" t="n">
        <v>3920</v>
      </c>
      <c r="E212" s="35" t="n">
        <v>1372000</v>
      </c>
      <c r="F212" s="36" t="n">
        <v>1372000</v>
      </c>
      <c r="G212" s="33" t="inlineStr"/>
    </row>
    <row r="213" ht="17" customHeight="1">
      <c r="A213" s="38" t="inlineStr"/>
      <c r="B213" s="32" t="inlineStr">
        <is>
          <t>GU1-AS-0003</t>
        </is>
      </c>
      <c r="C213" s="33" t="inlineStr">
        <is>
          <t>PRINTED HANDLE ASS"Y</t>
        </is>
      </c>
      <c r="D213" s="34" t="n">
        <v>2320</v>
      </c>
      <c r="E213" s="35" t="n">
        <v>647280</v>
      </c>
      <c r="F213" s="36" t="n">
        <v>368880</v>
      </c>
      <c r="G213" s="33" t="inlineStr"/>
    </row>
    <row r="214" ht="17" customHeight="1">
      <c r="A214" s="38" t="inlineStr"/>
      <c r="B214" s="32" t="inlineStr">
        <is>
          <t>GP3-MO-6030</t>
        </is>
      </c>
      <c r="C214" s="33" t="inlineStr">
        <is>
          <t>PT SHOOTER BASE</t>
        </is>
      </c>
      <c r="D214" s="34" t="n">
        <v>3000</v>
      </c>
      <c r="E214" s="35" t="n">
        <v>630000</v>
      </c>
      <c r="F214" s="36" t="n">
        <v>90000</v>
      </c>
      <c r="G214" s="33" t="inlineStr"/>
    </row>
    <row r="215" ht="17" customHeight="1">
      <c r="A215" s="38" t="inlineStr"/>
      <c r="B215" s="32" t="inlineStr">
        <is>
          <t>GP3-MO-6031</t>
        </is>
      </c>
      <c r="C215" s="33" t="inlineStr">
        <is>
          <t>PT SHOOTER COVER</t>
        </is>
      </c>
      <c r="D215" s="34" t="n">
        <v>3000</v>
      </c>
      <c r="E215" s="35" t="n">
        <v>480000</v>
      </c>
      <c r="F215" s="36" t="n">
        <v>60000</v>
      </c>
      <c r="G215" s="33" t="inlineStr"/>
    </row>
    <row r="216" ht="17" customHeight="1">
      <c r="A216" s="38" t="inlineStr"/>
      <c r="B216" s="32" t="inlineStr">
        <is>
          <t>GU2-MO-0007</t>
        </is>
      </c>
      <c r="C216" s="33" t="inlineStr">
        <is>
          <t>250A TERMINAL BASE</t>
        </is>
      </c>
      <c r="D216" s="34" t="n">
        <v>2500</v>
      </c>
      <c r="E216" s="35" t="n">
        <v>387500</v>
      </c>
      <c r="F216" s="36" t="n">
        <v>62500</v>
      </c>
      <c r="G216" s="33" t="inlineStr"/>
    </row>
    <row r="217" ht="17" customHeight="1">
      <c r="A217" s="38" t="inlineStr"/>
      <c r="B217" s="32" t="inlineStr">
        <is>
          <t>GU2-MO-0008</t>
        </is>
      </c>
      <c r="C217" s="33" t="inlineStr">
        <is>
          <t>150A TERMINAL BASE</t>
        </is>
      </c>
      <c r="D217" s="34" t="n">
        <v>2500</v>
      </c>
      <c r="E217" s="35" t="n">
        <v>370000</v>
      </c>
      <c r="F217" s="36" t="n">
        <v>222400</v>
      </c>
      <c r="G217" s="33" t="inlineStr"/>
    </row>
    <row r="218" ht="17" customHeight="1">
      <c r="A218" s="38" t="inlineStr"/>
      <c r="B218" s="32" t="inlineStr">
        <is>
          <t>GP3-MO-0035</t>
        </is>
      </c>
      <c r="C218" s="33" t="inlineStr">
        <is>
          <t>MAIN ALT LEVER</t>
        </is>
      </c>
      <c r="D218" s="34" t="n">
        <v>2000</v>
      </c>
      <c r="E218" s="35" t="n">
        <v>218000</v>
      </c>
      <c r="F218" s="36" t="n">
        <v>58000</v>
      </c>
      <c r="G218" s="33" t="inlineStr"/>
    </row>
    <row r="219" ht="17" customHeight="1">
      <c r="A219" s="38" t="inlineStr"/>
      <c r="B219" s="32" t="inlineStr">
        <is>
          <t>GU1-MO-0022</t>
        </is>
      </c>
      <c r="C219" s="33" t="inlineStr">
        <is>
          <t>BIEMETAL CAP</t>
        </is>
      </c>
      <c r="D219" s="34" t="n">
        <v>3000</v>
      </c>
      <c r="E219" s="35" t="n">
        <v>168000</v>
      </c>
      <c r="F219" s="36" t="n">
        <v>24000</v>
      </c>
      <c r="G219" s="33" t="inlineStr"/>
    </row>
    <row r="220" ht="17" customHeight="1">
      <c r="A220" s="38" t="inlineStr"/>
      <c r="B220" s="32" t="inlineStr">
        <is>
          <t>GU1-MO-0021</t>
        </is>
      </c>
      <c r="C220" s="33" t="inlineStr">
        <is>
          <t>SHOOTER</t>
        </is>
      </c>
      <c r="D220" s="34" t="n">
        <v>2000</v>
      </c>
      <c r="E220" s="35" t="n">
        <v>160000</v>
      </c>
      <c r="F220" s="36" t="n">
        <v>50000</v>
      </c>
      <c r="G220" s="33" t="inlineStr"/>
    </row>
    <row r="221" ht="17" customHeight="1">
      <c r="A221" s="38" t="inlineStr"/>
      <c r="B221" s="32" t="inlineStr">
        <is>
          <t>GP3-MO-0011</t>
        </is>
      </c>
      <c r="C221" s="33" t="inlineStr">
        <is>
          <t>MAIN AUX LEVER</t>
        </is>
      </c>
      <c r="D221" s="34" t="n">
        <v>900</v>
      </c>
      <c r="E221" s="35" t="n">
        <v>97200</v>
      </c>
      <c r="F221" s="36" t="n">
        <v>20700</v>
      </c>
      <c r="G221" s="33" t="inlineStr"/>
    </row>
    <row r="222" ht="17" customHeight="1">
      <c r="A222" s="38" t="inlineStr"/>
      <c r="B222" s="32" t="inlineStr">
        <is>
          <t>GP3-MO-6029</t>
        </is>
      </c>
      <c r="C222" s="33" t="inlineStr">
        <is>
          <t>ETU PT RIGHT SHOOTER</t>
        </is>
      </c>
      <c r="D222" s="34" t="n">
        <v>500</v>
      </c>
      <c r="E222" s="35" t="n">
        <v>70000</v>
      </c>
      <c r="F222" s="36" t="n">
        <v>10000</v>
      </c>
      <c r="G222" s="33" t="inlineStr"/>
    </row>
    <row r="223" ht="17" customHeight="1">
      <c r="A223" s="39" t="inlineStr">
        <is>
          <t>대신정밀</t>
        </is>
      </c>
      <c r="B223" s="40" t="inlineStr">
        <is>
          <t>55813562001</t>
        </is>
      </c>
      <c r="C223" s="41" t="inlineStr">
        <is>
          <t>HOUSING,MOLD,GRMU L</t>
        </is>
      </c>
      <c r="D223" s="42" t="n">
        <v>566</v>
      </c>
      <c r="E223" s="43" t="n">
        <v>10330066</v>
      </c>
      <c r="F223" s="44" t="n">
        <v>10330066</v>
      </c>
      <c r="G223" s="41" t="inlineStr"/>
    </row>
    <row r="224" ht="17" customHeight="1">
      <c r="A224" s="46" t="inlineStr"/>
      <c r="B224" s="40" t="inlineStr">
        <is>
          <t>64613172001</t>
        </is>
      </c>
      <c r="C224" s="41" t="inlineStr">
        <is>
          <t>COVER,FRONT M,VL</t>
        </is>
      </c>
      <c r="D224" s="42" t="n">
        <v>663</v>
      </c>
      <c r="E224" s="43" t="n">
        <v>9742545</v>
      </c>
      <c r="F224" s="44" t="n">
        <v>9742545</v>
      </c>
      <c r="G224" s="41" t="inlineStr"/>
    </row>
    <row r="225" ht="17" customHeight="1">
      <c r="A225" s="46" t="inlineStr"/>
      <c r="B225" s="40" t="inlineStr">
        <is>
          <t>60463562001</t>
        </is>
      </c>
      <c r="C225" s="41" t="inlineStr">
        <is>
          <t>SHAFT,MOLD,GRMU L</t>
        </is>
      </c>
      <c r="D225" s="42" t="n">
        <v>1440</v>
      </c>
      <c r="E225" s="43" t="n">
        <v>7521120</v>
      </c>
      <c r="F225" s="53" t="n">
        <v>-4346880</v>
      </c>
      <c r="G225" s="41" t="inlineStr"/>
    </row>
    <row r="226" ht="17" customHeight="1">
      <c r="A226" s="46" t="inlineStr"/>
      <c r="B226" s="40" t="inlineStr">
        <is>
          <t>64613461051</t>
        </is>
      </c>
      <c r="C226" s="41" t="inlineStr">
        <is>
          <t>COVER,FRONT 20P3,AN AS-DF,v2</t>
        </is>
      </c>
      <c r="D226" s="42" t="n">
        <v>290</v>
      </c>
      <c r="E226" s="43" t="n">
        <v>2954810</v>
      </c>
      <c r="F226" s="44" t="n">
        <v>2954810</v>
      </c>
      <c r="G226" s="41" t="inlineStr"/>
    </row>
    <row r="227" ht="17" customHeight="1">
      <c r="A227" s="46" t="inlineStr"/>
      <c r="B227" s="40" t="inlineStr">
        <is>
          <t>55613569002</t>
        </is>
      </c>
      <c r="C227" s="41" t="inlineStr">
        <is>
          <t>HOLDER,PAD LOCK COVER,GRMU LCL</t>
        </is>
      </c>
      <c r="D227" s="42" t="n">
        <v>6540</v>
      </c>
      <c r="E227" s="43" t="n">
        <v>2177220</v>
      </c>
      <c r="F227" s="44" t="n">
        <v>2177220</v>
      </c>
      <c r="G227" s="41" t="inlineStr"/>
    </row>
    <row r="228" ht="17" customHeight="1">
      <c r="A228" s="46" t="inlineStr"/>
      <c r="B228" s="40" t="inlineStr">
        <is>
          <t>55113562004</t>
        </is>
      </c>
      <c r="C228" s="41" t="inlineStr">
        <is>
          <t>GUIDE,PUFFER,GRMU L</t>
        </is>
      </c>
      <c r="D228" s="42" t="n">
        <v>2000</v>
      </c>
      <c r="E228" s="43" t="n">
        <v>2114000</v>
      </c>
      <c r="F228" s="44" t="n">
        <v>2114000</v>
      </c>
      <c r="G228" s="41" t="inlineStr"/>
    </row>
    <row r="229" ht="17" customHeight="1">
      <c r="A229" s="46" t="inlineStr"/>
      <c r="B229" s="40" t="inlineStr">
        <is>
          <t>58413569021</t>
        </is>
      </c>
      <c r="C229" s="41" t="inlineStr">
        <is>
          <t>PLATE,PAD LOCK COVER,GRMU LCL</t>
        </is>
      </c>
      <c r="D229" s="42" t="n">
        <v>1270</v>
      </c>
      <c r="E229" s="43" t="n">
        <v>1739900</v>
      </c>
      <c r="F229" s="44" t="n">
        <v>1739900</v>
      </c>
      <c r="G229" s="41" t="inlineStr"/>
    </row>
    <row r="230" ht="17" customHeight="1">
      <c r="A230" s="46" t="inlineStr"/>
      <c r="B230" s="40" t="inlineStr">
        <is>
          <t>55113562001</t>
        </is>
      </c>
      <c r="C230" s="41" t="inlineStr">
        <is>
          <t>GUIDE RING SHAFT</t>
        </is>
      </c>
      <c r="D230" s="42" t="n">
        <v>2000</v>
      </c>
      <c r="E230" s="43" t="n">
        <v>1224000</v>
      </c>
      <c r="F230" s="44" t="n">
        <v>1224000</v>
      </c>
      <c r="G230" s="41" t="inlineStr"/>
    </row>
    <row r="231" ht="17" customHeight="1">
      <c r="A231" s="46" t="inlineStr"/>
      <c r="B231" s="40" t="inlineStr">
        <is>
          <t>47813562001</t>
        </is>
      </c>
      <c r="C231" s="41" t="inlineStr">
        <is>
          <t>CONNECTOR,SHAFT,GRMU L</t>
        </is>
      </c>
      <c r="D231" s="42" t="n">
        <v>300</v>
      </c>
      <c r="E231" s="43" t="n">
        <v>538200</v>
      </c>
      <c r="F231" s="44" t="n">
        <v>538200</v>
      </c>
      <c r="G231" s="41" t="inlineStr"/>
    </row>
    <row r="232" ht="17" customHeight="1">
      <c r="A232" s="31" t="inlineStr">
        <is>
          <t>(주)대양</t>
        </is>
      </c>
      <c r="B232" s="32" t="inlineStr">
        <is>
          <t>GC6-MO-0060</t>
        </is>
      </c>
      <c r="C232" s="33" t="inlineStr">
        <is>
          <t>HGM100 GRID LEFT-CAP(신작)</t>
        </is>
      </c>
      <c r="D232" s="34" t="n">
        <v>156000</v>
      </c>
      <c r="E232" s="35" t="n">
        <v>6864000</v>
      </c>
      <c r="F232" s="36" t="n">
        <v>6864000</v>
      </c>
      <c r="G232" s="33" t="inlineStr"/>
    </row>
    <row r="233" ht="17" customHeight="1">
      <c r="A233" s="38" t="inlineStr"/>
      <c r="B233" s="32" t="inlineStr">
        <is>
          <t>GC6-MO-0061</t>
        </is>
      </c>
      <c r="C233" s="33" t="inlineStr">
        <is>
          <t>HGM100 GRID RIGHT-CAP(신작)</t>
        </is>
      </c>
      <c r="D233" s="34" t="n">
        <v>156000</v>
      </c>
      <c r="E233" s="35" t="n">
        <v>6864000</v>
      </c>
      <c r="F233" s="36" t="n">
        <v>6864000</v>
      </c>
      <c r="G233" s="33" t="inlineStr"/>
    </row>
    <row r="234" ht="17" customHeight="1">
      <c r="A234" s="38" t="inlineStr"/>
      <c r="B234" s="32" t="inlineStr">
        <is>
          <t>GC2-MO-0040</t>
        </is>
      </c>
      <c r="C234" s="33" t="inlineStr">
        <is>
          <t>HGM125 GRID LEFT-CAP(신작)</t>
        </is>
      </c>
      <c r="D234" s="34" t="n">
        <v>160000</v>
      </c>
      <c r="E234" s="35" t="n">
        <v>6720000</v>
      </c>
      <c r="F234" s="36" t="n">
        <v>4020000</v>
      </c>
      <c r="G234" s="33" t="inlineStr"/>
    </row>
    <row r="235" ht="17" customHeight="1">
      <c r="A235" s="38" t="inlineStr"/>
      <c r="B235" s="32" t="inlineStr">
        <is>
          <t>GC2-MO-0047</t>
        </is>
      </c>
      <c r="C235" s="33" t="inlineStr">
        <is>
          <t>HGM125 GRID RIGHT-CAP(신작)</t>
        </is>
      </c>
      <c r="D235" s="34" t="n">
        <v>160000</v>
      </c>
      <c r="E235" s="35" t="n">
        <v>6720000</v>
      </c>
      <c r="F235" s="36" t="n">
        <v>4020000</v>
      </c>
      <c r="G235" s="33" t="inlineStr"/>
    </row>
    <row r="236" ht="17" customHeight="1">
      <c r="A236" s="38" t="inlineStr"/>
      <c r="B236" s="32" t="inlineStr">
        <is>
          <t>GC3-MO-0052</t>
        </is>
      </c>
      <c r="C236" s="33" t="inlineStr">
        <is>
          <t>HGM250 GRID LEFT -CAP(신작)</t>
        </is>
      </c>
      <c r="D236" s="34" t="n">
        <v>90000</v>
      </c>
      <c r="E236" s="35" t="n">
        <v>4500000</v>
      </c>
      <c r="F236" s="36" t="n">
        <v>1260000</v>
      </c>
      <c r="G236" s="33" t="inlineStr"/>
    </row>
    <row r="237" ht="17" customHeight="1">
      <c r="A237" s="38" t="inlineStr"/>
      <c r="B237" s="32" t="inlineStr">
        <is>
          <t>GC3-MO-0053</t>
        </is>
      </c>
      <c r="C237" s="33" t="inlineStr">
        <is>
          <t>HGM250 GRID RIGHT-CAP(신작)</t>
        </is>
      </c>
      <c r="D237" s="34" t="n">
        <v>90000</v>
      </c>
      <c r="E237" s="35" t="n">
        <v>4500000</v>
      </c>
      <c r="F237" s="36" t="n">
        <v>1260000</v>
      </c>
      <c r="G237" s="33" t="inlineStr"/>
    </row>
    <row r="238" ht="17" customHeight="1">
      <c r="A238" s="39" t="inlineStr">
        <is>
          <t>성신산전</t>
        </is>
      </c>
      <c r="B238" s="40" t="inlineStr">
        <is>
          <t>64723460501</t>
        </is>
      </c>
      <c r="C238" s="41" t="inlineStr">
        <is>
          <t>DOOR ASS'Y,FRAME Drawout</t>
        </is>
      </c>
      <c r="D238" s="42" t="n">
        <v>1164</v>
      </c>
      <c r="E238" s="43" t="n">
        <v>8387130</v>
      </c>
      <c r="F238" s="44" t="n">
        <v>8387130</v>
      </c>
      <c r="G238" s="41" t="inlineStr"/>
    </row>
    <row r="239" ht="17" customHeight="1">
      <c r="A239" s="46" t="inlineStr"/>
      <c r="B239" s="40" t="inlineStr">
        <is>
          <t>64613464001</t>
        </is>
      </c>
      <c r="C239" s="41" t="inlineStr">
        <is>
          <t>COVER,AUX 40,AN AH-E4G4</t>
        </is>
      </c>
      <c r="D239" s="42" t="n">
        <v>2559</v>
      </c>
      <c r="E239" s="43" t="n">
        <v>6286997</v>
      </c>
      <c r="F239" s="44" t="n">
        <v>6286997</v>
      </c>
      <c r="G239" s="41" t="inlineStr"/>
    </row>
    <row r="240" ht="17" customHeight="1">
      <c r="A240" s="46" t="inlineStr"/>
      <c r="B240" s="40" t="inlineStr">
        <is>
          <t>64613463031</t>
        </is>
      </c>
      <c r="C240" s="41" t="inlineStr">
        <is>
          <t>COVER,FRONT 40P3,AH-EG,v2</t>
        </is>
      </c>
      <c r="D240" s="42" t="n">
        <v>210</v>
      </c>
      <c r="E240" s="43" t="n">
        <v>2348640</v>
      </c>
      <c r="F240" s="44" t="n">
        <v>2348640</v>
      </c>
      <c r="G240" s="41" t="inlineStr"/>
    </row>
    <row r="241" ht="17" customHeight="1">
      <c r="A241" s="46" t="inlineStr"/>
      <c r="B241" s="40" t="inlineStr">
        <is>
          <t>64613462001</t>
        </is>
      </c>
      <c r="C241" s="41" t="inlineStr">
        <is>
          <t>COVER,AUX 20,AN AH-D4F4</t>
        </is>
      </c>
      <c r="D241" s="42" t="n">
        <v>907</v>
      </c>
      <c r="E241" s="43" t="n">
        <v>1803116</v>
      </c>
      <c r="F241" s="44" t="n">
        <v>1803116</v>
      </c>
      <c r="G241" s="41" t="inlineStr"/>
    </row>
    <row r="242" ht="17" customHeight="1">
      <c r="A242" s="46" t="inlineStr"/>
      <c r="B242" s="40" t="inlineStr">
        <is>
          <t>64613460005</t>
        </is>
      </c>
      <c r="C242" s="41" t="inlineStr">
        <is>
          <t>COVER,GAP,AN AS-DEFG</t>
        </is>
      </c>
      <c r="D242" s="42" t="n">
        <v>3800</v>
      </c>
      <c r="E242" s="43" t="n">
        <v>675200</v>
      </c>
      <c r="F242" s="44" t="n">
        <v>675200</v>
      </c>
      <c r="G242" s="41" t="inlineStr"/>
    </row>
    <row r="243" ht="17" customHeight="1">
      <c r="A243" s="46" t="inlineStr"/>
      <c r="B243" s="40" t="inlineStr">
        <is>
          <t>64613461031</t>
        </is>
      </c>
      <c r="C243" s="41" t="inlineStr">
        <is>
          <t>COVER,FRONT 20P3,AH-D,v2</t>
        </is>
      </c>
      <c r="D243" s="42" t="n">
        <v>60</v>
      </c>
      <c r="E243" s="43" t="n">
        <v>611340</v>
      </c>
      <c r="F243" s="44" t="n">
        <v>611340</v>
      </c>
      <c r="G243" s="41" t="inlineStr"/>
    </row>
    <row r="244" ht="17" customHeight="1">
      <c r="A244" s="46" t="inlineStr"/>
      <c r="B244" s="40" t="inlineStr">
        <is>
          <t>58611173901</t>
        </is>
      </c>
      <c r="C244" s="41" t="inlineStr">
        <is>
          <t>PROTECTOR UTS600</t>
        </is>
      </c>
      <c r="D244" s="42" t="n">
        <v>32</v>
      </c>
      <c r="E244" s="43" t="n">
        <v>272000</v>
      </c>
      <c r="F244" s="44" t="n">
        <v>272000</v>
      </c>
      <c r="G244" s="41" t="inlineStr"/>
    </row>
    <row r="245" ht="17" customHeight="1">
      <c r="A245" s="46" t="inlineStr"/>
      <c r="B245" s="40" t="inlineStr">
        <is>
          <t>64613463033</t>
        </is>
      </c>
      <c r="C245" s="41" t="inlineStr">
        <is>
          <t>COVER,FRONT 40P3,AH-EG,v2,(E4G3G4)</t>
        </is>
      </c>
      <c r="D245" s="42" t="n">
        <v>20</v>
      </c>
      <c r="E245" s="43" t="n">
        <v>227500</v>
      </c>
      <c r="F245" s="44" t="n">
        <v>227500</v>
      </c>
      <c r="G245" s="41" t="inlineStr"/>
    </row>
    <row r="246" ht="17" customHeight="1">
      <c r="A246" s="46" t="inlineStr"/>
      <c r="B246" s="40" t="inlineStr">
        <is>
          <t>64613465032</t>
        </is>
      </c>
      <c r="C246" s="41" t="inlineStr">
        <is>
          <t>COVER,AUX 63,AN,AH-G,v2</t>
        </is>
      </c>
      <c r="D246" s="42" t="n">
        <v>20</v>
      </c>
      <c r="E246" s="43" t="n">
        <v>178740</v>
      </c>
      <c r="F246" s="44" t="n">
        <v>178740</v>
      </c>
      <c r="G246" s="41" t="inlineStr"/>
    </row>
    <row r="247" ht="17" customHeight="1">
      <c r="A247" s="46" t="inlineStr"/>
      <c r="B247" s="40" t="inlineStr">
        <is>
          <t>58113466402</t>
        </is>
      </c>
      <c r="C247" s="41" t="inlineStr">
        <is>
          <t>PIPE OPERATING LEFT</t>
        </is>
      </c>
      <c r="D247" s="42" t="n">
        <v>500</v>
      </c>
      <c r="E247" s="43" t="n">
        <v>160000</v>
      </c>
      <c r="F247" s="44" t="n">
        <v>35000</v>
      </c>
      <c r="G247" s="41" t="inlineStr"/>
    </row>
    <row r="248" ht="17" customHeight="1">
      <c r="A248" s="46" t="inlineStr"/>
      <c r="B248" s="40" t="inlineStr">
        <is>
          <t>58113466403</t>
        </is>
      </c>
      <c r="C248" s="41" t="inlineStr">
        <is>
          <t>PIPE OPERATING RIGHT</t>
        </is>
      </c>
      <c r="D248" s="42" t="n">
        <v>500</v>
      </c>
      <c r="E248" s="43" t="n">
        <v>160000</v>
      </c>
      <c r="F248" s="44" t="n">
        <v>35000</v>
      </c>
      <c r="G248" s="41" t="inlineStr"/>
    </row>
    <row r="249" ht="17" customHeight="1">
      <c r="A249" s="46" t="inlineStr"/>
      <c r="B249" s="40" t="inlineStr">
        <is>
          <t>55613466401</t>
        </is>
      </c>
      <c r="C249" s="41" t="inlineStr">
        <is>
          <t>HOLDER CELL S/W</t>
        </is>
      </c>
      <c r="D249" s="42" t="n">
        <v>300</v>
      </c>
      <c r="E249" s="43" t="n">
        <v>60000</v>
      </c>
      <c r="F249" s="44" t="n">
        <v>15000</v>
      </c>
      <c r="G249" s="41" t="inlineStr"/>
    </row>
    <row r="250" ht="17" customHeight="1">
      <c r="A250" s="46" t="inlineStr"/>
      <c r="B250" s="40" t="inlineStr">
        <is>
          <t>64613460105</t>
        </is>
      </c>
      <c r="C250" s="41" t="inlineStr">
        <is>
          <t>COVER,GAP,AN AS-DEFG,v2</t>
        </is>
      </c>
      <c r="D250" s="42" t="n">
        <v>50</v>
      </c>
      <c r="E250" s="43" t="n">
        <v>24900</v>
      </c>
      <c r="F250" s="44" t="n">
        <v>24900</v>
      </c>
      <c r="G250" s="41" t="inlineStr"/>
    </row>
    <row r="251" ht="17" customHeight="1">
      <c r="A251" s="31" t="inlineStr">
        <is>
          <t>유니메드제약</t>
        </is>
      </c>
      <c r="B251" s="32" t="inlineStr">
        <is>
          <t>1111</t>
        </is>
      </c>
      <c r="C251" s="33" t="inlineStr">
        <is>
          <t>주사기고정대 소형</t>
        </is>
      </c>
      <c r="D251" s="34" t="n">
        <v>150000</v>
      </c>
      <c r="E251" s="35" t="n">
        <v>8100000</v>
      </c>
      <c r="F251" s="36" t="n">
        <v>5460000</v>
      </c>
      <c r="G251" s="33" t="inlineStr"/>
    </row>
    <row r="252" ht="17" customHeight="1">
      <c r="A252" s="38" t="inlineStr"/>
      <c r="B252" s="32" t="inlineStr">
        <is>
          <t>1112</t>
        </is>
      </c>
      <c r="C252" s="33" t="inlineStr">
        <is>
          <t>주사기고정대 대형</t>
        </is>
      </c>
      <c r="D252" s="34" t="n">
        <v>100000</v>
      </c>
      <c r="E252" s="35" t="n">
        <v>6200000</v>
      </c>
      <c r="F252" s="36" t="n">
        <v>6020000</v>
      </c>
      <c r="G252" s="33" t="inlineStr"/>
    </row>
    <row r="253" ht="17" customHeight="1">
      <c r="A253" s="39" t="inlineStr">
        <is>
          <t>성신산전, 하이베로</t>
        </is>
      </c>
      <c r="B253" s="40" t="inlineStr">
        <is>
          <t>64261147102</t>
        </is>
      </c>
      <c r="C253" s="41" t="inlineStr">
        <is>
          <t>BASE,HANDLE,E-60U/70U/80U</t>
        </is>
      </c>
      <c r="D253" s="42" t="n">
        <v>2100</v>
      </c>
      <c r="E253" s="43" t="n">
        <v>3574200</v>
      </c>
      <c r="F253" s="44" t="n">
        <v>739200</v>
      </c>
      <c r="G253" s="41" t="inlineStr"/>
    </row>
    <row r="254" ht="17" customHeight="1">
      <c r="A254" s="46" t="inlineStr"/>
      <c r="B254" s="40" t="inlineStr">
        <is>
          <t>64261147106</t>
        </is>
      </c>
      <c r="C254" s="41" t="inlineStr">
        <is>
          <t>BASE,HANDLE EHX ,E-60U(black)</t>
        </is>
      </c>
      <c r="D254" s="42" t="n">
        <v>1350</v>
      </c>
      <c r="E254" s="43" t="n">
        <v>3007800</v>
      </c>
      <c r="F254" s="44" t="n">
        <v>1222800</v>
      </c>
      <c r="G254" s="41" t="inlineStr"/>
    </row>
    <row r="255" ht="17" customHeight="1">
      <c r="A255" s="46" t="inlineStr"/>
      <c r="B255" s="40" t="inlineStr">
        <is>
          <t>55211176301</t>
        </is>
      </c>
      <c r="C255" s="41" t="inlineStr">
        <is>
          <t>HANDLE,V EHU,UTS1200  grey</t>
        </is>
      </c>
      <c r="D255" s="42" t="n">
        <v>627</v>
      </c>
      <c r="E255" s="43" t="n">
        <v>2390124</v>
      </c>
      <c r="F255" s="44" t="n">
        <v>321024</v>
      </c>
      <c r="G255" s="41" t="inlineStr"/>
    </row>
    <row r="256" ht="17" customHeight="1">
      <c r="A256" s="46" t="inlineStr"/>
      <c r="B256" s="40" t="inlineStr">
        <is>
          <t>64261147101</t>
        </is>
      </c>
      <c r="C256" s="41" t="inlineStr">
        <is>
          <t>BASE BACK,E-60U/70U/80U</t>
        </is>
      </c>
      <c r="D256" s="42" t="n">
        <v>2000</v>
      </c>
      <c r="E256" s="43" t="n">
        <v>1470000</v>
      </c>
      <c r="F256" s="44" t="n">
        <v>470000</v>
      </c>
      <c r="G256" s="41" t="inlineStr"/>
    </row>
    <row r="257" ht="17" customHeight="1">
      <c r="A257" s="46" t="inlineStr"/>
      <c r="B257" s="40" t="inlineStr">
        <is>
          <t>64261147107</t>
        </is>
      </c>
      <c r="C257" s="41" t="inlineStr">
        <is>
          <t>BASE BACK EHX,E-60U(black)</t>
        </is>
      </c>
      <c r="D257" s="42" t="n">
        <v>1500</v>
      </c>
      <c r="E257" s="43" t="n">
        <v>1345500</v>
      </c>
      <c r="F257" s="44" t="n">
        <v>595500</v>
      </c>
      <c r="G257" s="41" t="inlineStr"/>
    </row>
    <row r="258" ht="17" customHeight="1">
      <c r="A258" s="46" t="inlineStr"/>
      <c r="B258" s="40" t="inlineStr">
        <is>
          <t>55211147102</t>
        </is>
      </c>
      <c r="C258" s="41" t="inlineStr">
        <is>
          <t>HANDLE,V EHX,E-60U  (black)</t>
        </is>
      </c>
      <c r="D258" s="42" t="n">
        <v>576</v>
      </c>
      <c r="E258" s="43" t="n">
        <v>1044864</v>
      </c>
      <c r="F258" s="44" t="n">
        <v>296064</v>
      </c>
      <c r="G258" s="41" t="inlineStr"/>
    </row>
    <row r="259" ht="17" customHeight="1">
      <c r="A259" s="46" t="inlineStr"/>
      <c r="B259" s="40" t="inlineStr">
        <is>
          <t>65011171851</t>
        </is>
      </c>
      <c r="C259" s="41" t="inlineStr">
        <is>
          <t>LEVER,RELEASE,EHU1</t>
        </is>
      </c>
      <c r="D259" s="42" t="n">
        <v>4000</v>
      </c>
      <c r="E259" s="43" t="n">
        <v>472000</v>
      </c>
      <c r="F259" s="44" t="n">
        <v>472000</v>
      </c>
      <c r="G259" s="41" t="inlineStr"/>
    </row>
    <row r="260" ht="17" customHeight="1">
      <c r="A260" s="46" t="inlineStr"/>
      <c r="B260" s="40" t="inlineStr">
        <is>
          <t>55211138101</t>
        </is>
      </c>
      <c r="C260" s="41" t="inlineStr">
        <is>
          <t>HANDLE,V,E-70U/80U</t>
        </is>
      </c>
      <c r="D260" s="42" t="n">
        <v>216</v>
      </c>
      <c r="E260" s="43" t="n">
        <v>362448</v>
      </c>
      <c r="F260" s="44" t="n">
        <v>362448</v>
      </c>
      <c r="G260" s="41" t="inlineStr"/>
    </row>
    <row r="261" ht="17" customHeight="1">
      <c r="A261" s="46" t="inlineStr"/>
      <c r="B261" s="40" t="inlineStr">
        <is>
          <t>55611175102</t>
        </is>
      </c>
      <c r="C261" s="41" t="inlineStr">
        <is>
          <t>HOLDER SHAFT,UTE100</t>
        </is>
      </c>
      <c r="D261" s="42" t="n">
        <v>1000</v>
      </c>
      <c r="E261" s="43" t="n">
        <v>233000</v>
      </c>
      <c r="F261" s="44" t="n">
        <v>233000</v>
      </c>
      <c r="G261" s="41" t="inlineStr"/>
    </row>
    <row r="262" ht="17" customHeight="1">
      <c r="A262" s="46" t="inlineStr"/>
      <c r="B262" s="40" t="inlineStr">
        <is>
          <t>55611147102</t>
        </is>
      </c>
      <c r="C262" s="41" t="inlineStr">
        <is>
          <t>HOLDER SHAFT EHX,E-60U</t>
        </is>
      </c>
      <c r="D262" s="42" t="n">
        <v>500</v>
      </c>
      <c r="E262" s="43" t="n">
        <v>116500</v>
      </c>
      <c r="F262" s="44" t="n">
        <v>116500</v>
      </c>
      <c r="G262" s="41" t="inlineStr"/>
    </row>
    <row r="263" ht="17" customHeight="1">
      <c r="A263" s="46" t="inlineStr"/>
      <c r="B263" s="40" t="inlineStr">
        <is>
          <t>55611147101</t>
        </is>
      </c>
      <c r="C263" s="41" t="inlineStr">
        <is>
          <t>HOLDER SHAFT,E-60U/70U/80U</t>
        </is>
      </c>
      <c r="D263" s="42" t="n">
        <v>500</v>
      </c>
      <c r="E263" s="43" t="n">
        <v>98000</v>
      </c>
      <c r="F263" s="44" t="n">
        <v>98000</v>
      </c>
      <c r="G263" s="41" t="inlineStr"/>
    </row>
    <row r="264" ht="17" customHeight="1">
      <c r="A264" s="31" t="inlineStr">
        <is>
          <t>(주)대양</t>
        </is>
      </c>
      <c r="B264" s="32" t="inlineStr">
        <is>
          <t>GC1-MO-0060</t>
        </is>
      </c>
      <c r="C264" s="33" t="inlineStr">
        <is>
          <t>GRID LEFT CAP</t>
        </is>
      </c>
      <c r="D264" s="34" t="n">
        <v>156000</v>
      </c>
      <c r="E264" s="35" t="n">
        <v>6864000</v>
      </c>
      <c r="F264" s="36" t="n">
        <v>1248000</v>
      </c>
      <c r="G264" s="33" t="inlineStr"/>
    </row>
    <row r="265" ht="17" customHeight="1">
      <c r="A265" s="38" t="inlineStr"/>
      <c r="B265" s="32" t="inlineStr">
        <is>
          <t>GC1-MO-0061</t>
        </is>
      </c>
      <c r="C265" s="33" t="inlineStr">
        <is>
          <t>GRID RIGHT CAP</t>
        </is>
      </c>
      <c r="D265" s="34" t="n">
        <v>156000</v>
      </c>
      <c r="E265" s="35" t="n">
        <v>6864000</v>
      </c>
      <c r="F265" s="36" t="n">
        <v>1248000</v>
      </c>
      <c r="G265" s="33" t="inlineStr"/>
    </row>
    <row r="266" ht="17" customHeight="1">
      <c r="A266" s="39" t="inlineStr">
        <is>
          <t>산전정밀</t>
        </is>
      </c>
      <c r="B266" s="40" t="inlineStr">
        <is>
          <t>64613173061</t>
        </is>
      </c>
      <c r="C266" s="41" t="inlineStr">
        <is>
          <t>COVER,MOLD HOUSING,36/40.5kV</t>
        </is>
      </c>
      <c r="D266" s="42" t="n">
        <v>2010</v>
      </c>
      <c r="E266" s="43" t="n">
        <v>10464060</v>
      </c>
      <c r="F266" s="44" t="n">
        <v>10464060</v>
      </c>
      <c r="G266" s="41" t="inlineStr"/>
    </row>
    <row r="267" ht="17" customHeight="1">
      <c r="A267" s="46" t="inlineStr"/>
      <c r="B267" s="40" t="inlineStr">
        <is>
          <t>55113172012</t>
        </is>
      </c>
      <c r="C267" s="41" t="inlineStr">
        <is>
          <t>GUIDE,VI,VHM,24kV 12.5kA 630A</t>
        </is>
      </c>
      <c r="D267" s="42" t="n">
        <v>1119</v>
      </c>
      <c r="E267" s="43" t="n">
        <v>477813</v>
      </c>
      <c r="F267" s="44" t="n">
        <v>477813</v>
      </c>
      <c r="G267" s="41" t="inlineStr"/>
    </row>
    <row r="268" ht="17" customHeight="1">
      <c r="A268" s="46" t="inlineStr"/>
      <c r="B268" s="40" t="inlineStr">
        <is>
          <t>58413770016</t>
        </is>
      </c>
      <c r="C268" s="41" t="inlineStr">
        <is>
          <t>PLATE FACE VCS 6A6B DOUBLE FUSE</t>
        </is>
      </c>
      <c r="D268" s="42" t="n">
        <v>4</v>
      </c>
      <c r="E268" s="43" t="n">
        <v>100564</v>
      </c>
      <c r="F268" s="44" t="n">
        <v>100564</v>
      </c>
      <c r="G268" s="41" t="inlineStr"/>
    </row>
    <row r="269" ht="17" customHeight="1">
      <c r="A269" s="46" t="inlineStr"/>
      <c r="B269" s="40" t="inlineStr">
        <is>
          <t>50813731003</t>
        </is>
      </c>
      <c r="C269" s="41" t="inlineStr">
        <is>
          <t>CAP,VCE</t>
        </is>
      </c>
      <c r="D269" s="42" t="n">
        <v>220</v>
      </c>
      <c r="E269" s="43" t="n">
        <v>21120</v>
      </c>
      <c r="F269" s="44" t="n">
        <v>21120</v>
      </c>
      <c r="G269" s="41" t="inlineStr"/>
    </row>
    <row r="270" ht="17" customHeight="1">
      <c r="A270" s="31" t="inlineStr">
        <is>
          <t>비에스아이에스</t>
        </is>
      </c>
      <c r="B270" s="32" t="inlineStr">
        <is>
          <t>58423735007</t>
        </is>
      </c>
      <c r="C270" s="33" t="inlineStr">
        <is>
          <t>PLATE ASS'Y,UPPER FACE,VCS</t>
        </is>
      </c>
      <c r="D270" s="34" t="n">
        <v>290</v>
      </c>
      <c r="E270" s="35" t="n">
        <v>4060580</v>
      </c>
      <c r="F270" s="36" t="n">
        <v>4060580</v>
      </c>
      <c r="G270" s="33" t="inlineStr"/>
    </row>
    <row r="271" ht="17" customHeight="1">
      <c r="A271" s="38" t="inlineStr"/>
      <c r="B271" s="32" t="inlineStr">
        <is>
          <t>58413731017</t>
        </is>
      </c>
      <c r="C271" s="33" t="inlineStr">
        <is>
          <t>PLATE,FACE(SILK),VC</t>
        </is>
      </c>
      <c r="D271" s="34" t="n">
        <v>242</v>
      </c>
      <c r="E271" s="35" t="n">
        <v>3242558</v>
      </c>
      <c r="F271" s="36" t="n">
        <v>3242558</v>
      </c>
      <c r="G271" s="33" t="inlineStr"/>
    </row>
    <row r="272" ht="17" customHeight="1">
      <c r="A272" s="38" t="inlineStr"/>
      <c r="B272" s="32" t="inlineStr">
        <is>
          <t>58413731018</t>
        </is>
      </c>
      <c r="C272" s="33" t="inlineStr">
        <is>
          <t>PLATE,FACE(SILK),VCS</t>
        </is>
      </c>
      <c r="D272" s="34" t="n">
        <v>242</v>
      </c>
      <c r="E272" s="35" t="n">
        <v>3242558</v>
      </c>
      <c r="F272" s="36" t="n">
        <v>3242558</v>
      </c>
      <c r="G272" s="33" t="inlineStr"/>
    </row>
    <row r="273" ht="17" customHeight="1">
      <c r="A273" s="38" t="inlineStr"/>
      <c r="B273" s="32" t="inlineStr">
        <is>
          <t>58423733006</t>
        </is>
      </c>
      <c r="C273" s="33" t="inlineStr">
        <is>
          <t>PLATE ASS'Y,D-UPPER FACE,VCS</t>
        </is>
      </c>
      <c r="D273" s="34" t="n">
        <v>20</v>
      </c>
      <c r="E273" s="35" t="n">
        <v>218200</v>
      </c>
      <c r="F273" s="36" t="n">
        <v>218200</v>
      </c>
      <c r="G273" s="33" t="inlineStr"/>
    </row>
    <row r="274" ht="17" customHeight="1">
      <c r="A274" s="39" t="inlineStr">
        <is>
          <t>H,R TECH</t>
        </is>
      </c>
      <c r="B274" s="40" t="inlineStr">
        <is>
          <t>3AT-03417</t>
        </is>
      </c>
      <c r="C274" s="41" t="inlineStr">
        <is>
          <t>U-CT  BASE COVER-A</t>
        </is>
      </c>
      <c r="D274" s="42" t="n">
        <v>8000</v>
      </c>
      <c r="E274" s="43" t="n">
        <v>5008000</v>
      </c>
      <c r="F274" s="44" t="n">
        <v>928000</v>
      </c>
      <c r="G274" s="41" t="inlineStr"/>
    </row>
    <row r="275" ht="17" customHeight="1">
      <c r="A275" s="46" t="inlineStr"/>
      <c r="B275" s="40" t="inlineStr">
        <is>
          <t>3AT-04221</t>
        </is>
      </c>
      <c r="C275" s="41" t="inlineStr">
        <is>
          <t>U-CT BASE COVER-B</t>
        </is>
      </c>
      <c r="D275" s="42" t="n">
        <v>3000</v>
      </c>
      <c r="E275" s="43" t="n">
        <v>2538000</v>
      </c>
      <c r="F275" s="44" t="n">
        <v>378000</v>
      </c>
      <c r="G275" s="41" t="inlineStr"/>
    </row>
    <row r="276" ht="17" customHeight="1">
      <c r="A276" s="31" t="inlineStr">
        <is>
          <t>케이엠데이타</t>
        </is>
      </c>
      <c r="B276" s="32" t="inlineStr">
        <is>
          <t>3AT-03462</t>
        </is>
      </c>
      <c r="C276" s="33" t="inlineStr">
        <is>
          <t>REAR COVER</t>
        </is>
      </c>
      <c r="D276" s="34" t="n">
        <v>1280</v>
      </c>
      <c r="E276" s="35" t="n">
        <v>2291200</v>
      </c>
      <c r="F276" s="36" t="n">
        <v>499200</v>
      </c>
      <c r="G276" s="33" t="inlineStr"/>
    </row>
    <row r="277" ht="17" customHeight="1">
      <c r="A277" s="38" t="inlineStr"/>
      <c r="B277" s="32" t="inlineStr">
        <is>
          <t>GM7-MO-0504</t>
        </is>
      </c>
      <c r="C277" s="33" t="inlineStr">
        <is>
          <t>HGC500AF PCB CASE</t>
        </is>
      </c>
      <c r="D277" s="34" t="n">
        <v>2124</v>
      </c>
      <c r="E277" s="35" t="n">
        <v>1699200</v>
      </c>
      <c r="F277" s="36" t="n">
        <v>637200</v>
      </c>
      <c r="G277" s="33" t="inlineStr"/>
    </row>
    <row r="278" ht="17" customHeight="1">
      <c r="A278" s="38" t="inlineStr"/>
      <c r="B278" s="32" t="inlineStr">
        <is>
          <t>3AT-04360</t>
        </is>
      </c>
      <c r="C278" s="33" t="inlineStr">
        <is>
          <t>RCTU UPPER CASE</t>
        </is>
      </c>
      <c r="D278" s="34" t="n">
        <v>1210</v>
      </c>
      <c r="E278" s="35" t="n">
        <v>1391500</v>
      </c>
      <c r="F278" s="36" t="n">
        <v>242000</v>
      </c>
      <c r="G278" s="33" t="inlineStr"/>
    </row>
    <row r="279" ht="17" customHeight="1">
      <c r="A279" s="38" t="inlineStr"/>
      <c r="B279" s="32" t="inlineStr">
        <is>
          <t>4AT-06965</t>
        </is>
      </c>
      <c r="C279" s="33" t="inlineStr">
        <is>
          <t>LOCK LEVER</t>
        </is>
      </c>
      <c r="D279" s="34" t="n">
        <v>6000</v>
      </c>
      <c r="E279" s="35" t="n">
        <v>720000</v>
      </c>
      <c r="F279" s="36" t="n">
        <v>600000</v>
      </c>
      <c r="G279" s="33" t="inlineStr"/>
    </row>
    <row r="280" ht="17" customHeight="1">
      <c r="A280" s="38" t="inlineStr"/>
      <c r="B280" s="32" t="inlineStr">
        <is>
          <t>3AT-04362</t>
        </is>
      </c>
      <c r="C280" s="33" t="inlineStr">
        <is>
          <t>RCTU CASE COVER</t>
        </is>
      </c>
      <c r="D280" s="34" t="n">
        <v>1176</v>
      </c>
      <c r="E280" s="35" t="n">
        <v>352800</v>
      </c>
      <c r="F280" s="36" t="n">
        <v>82320</v>
      </c>
      <c r="G280" s="33" t="inlineStr"/>
    </row>
    <row r="281" ht="17" customHeight="1">
      <c r="A281" s="38" t="inlineStr"/>
      <c r="B281" s="32" t="inlineStr">
        <is>
          <t>4AT-06513</t>
        </is>
      </c>
      <c r="C281" s="33" t="inlineStr">
        <is>
          <t>LOW CAP</t>
        </is>
      </c>
      <c r="D281" s="34" t="n">
        <v>2450</v>
      </c>
      <c r="E281" s="35" t="n">
        <v>269500</v>
      </c>
      <c r="F281" s="36" t="n">
        <v>61250</v>
      </c>
      <c r="G281" s="33" t="inlineStr"/>
    </row>
    <row r="282" ht="17" customHeight="1">
      <c r="A282" s="38" t="inlineStr"/>
      <c r="B282" s="32" t="inlineStr">
        <is>
          <t>4AT-06998</t>
        </is>
      </c>
      <c r="C282" s="33" t="inlineStr">
        <is>
          <t>OPERTING ROD</t>
        </is>
      </c>
      <c r="D282" s="34" t="n">
        <v>1500</v>
      </c>
      <c r="E282" s="35" t="n">
        <v>240000</v>
      </c>
      <c r="F282" s="36" t="n">
        <v>60000</v>
      </c>
      <c r="G282" s="33" t="inlineStr"/>
    </row>
    <row r="283" ht="17" customHeight="1">
      <c r="A283" s="39" t="inlineStr">
        <is>
          <t>노바스이지</t>
        </is>
      </c>
      <c r="B283" s="40" t="inlineStr">
        <is>
          <t>GTP-MO-0020</t>
        </is>
      </c>
      <c r="C283" s="41" t="inlineStr">
        <is>
          <t>MAIN CONTROL FRAME</t>
        </is>
      </c>
      <c r="D283" s="42" t="n">
        <v>4000</v>
      </c>
      <c r="E283" s="43" t="n">
        <v>3100000</v>
      </c>
      <c r="F283" s="44" t="n">
        <v>3100000</v>
      </c>
      <c r="G283" s="41" t="inlineStr"/>
    </row>
    <row r="284" ht="17" customHeight="1">
      <c r="A284" s="46" t="inlineStr"/>
      <c r="B284" s="40" t="inlineStr">
        <is>
          <t>GTP-MO-0021</t>
        </is>
      </c>
      <c r="C284" s="41" t="inlineStr">
        <is>
          <t>MAIN POWER FRAME</t>
        </is>
      </c>
      <c r="D284" s="42" t="n">
        <v>4000</v>
      </c>
      <c r="E284" s="43" t="n">
        <v>3056000</v>
      </c>
      <c r="F284" s="44" t="n">
        <v>3056000</v>
      </c>
      <c r="G284" s="41" t="inlineStr"/>
    </row>
    <row r="285" ht="17" customHeight="1">
      <c r="A285" s="46" t="inlineStr"/>
      <c r="B285" s="40" t="inlineStr">
        <is>
          <t>GI1-MO-0014-002</t>
        </is>
      </c>
      <c r="C285" s="41" t="inlineStr">
        <is>
          <t>HG CAM A MAIN CASE(통신형)</t>
        </is>
      </c>
      <c r="D285" s="42" t="n">
        <v>816</v>
      </c>
      <c r="E285" s="43" t="n">
        <v>50592</v>
      </c>
      <c r="F285" s="53" t="n">
        <v>-1581408</v>
      </c>
      <c r="G285" s="41" t="inlineStr"/>
    </row>
    <row r="286" ht="17" customHeight="1">
      <c r="A286" s="31" t="inlineStr">
        <is>
          <t>신현기전</t>
        </is>
      </c>
      <c r="B286" s="32" t="inlineStr">
        <is>
          <t>3AT-03630</t>
        </is>
      </c>
      <c r="C286" s="33" t="inlineStr">
        <is>
          <t>SC ARC PROT BASE / 40 DC</t>
        </is>
      </c>
      <c r="D286" s="34" t="n">
        <v>2100</v>
      </c>
      <c r="E286" s="35" t="n">
        <v>1375500</v>
      </c>
      <c r="F286" s="36" t="n">
        <v>1375500</v>
      </c>
      <c r="G286" s="33" t="inlineStr"/>
    </row>
    <row r="287" ht="17" customHeight="1">
      <c r="A287" s="38" t="inlineStr"/>
      <c r="B287" s="32" t="inlineStr">
        <is>
          <t>3AT-04829</t>
        </is>
      </c>
      <c r="C287" s="33" t="inlineStr">
        <is>
          <t>MOLD JOINT 63</t>
        </is>
      </c>
      <c r="D287" s="34" t="n">
        <v>75</v>
      </c>
      <c r="E287" s="35" t="n">
        <v>489300</v>
      </c>
      <c r="F287" s="36" t="n">
        <v>489300</v>
      </c>
      <c r="G287" s="33" t="inlineStr"/>
    </row>
    <row r="288" ht="17" customHeight="1">
      <c r="A288" s="38" t="inlineStr"/>
      <c r="B288" s="32" t="inlineStr">
        <is>
          <t>3AT-04604</t>
        </is>
      </c>
      <c r="C288" s="33" t="inlineStr">
        <is>
          <t>PIPE, G-HANDLE</t>
        </is>
      </c>
      <c r="D288" s="34" t="n">
        <v>2100</v>
      </c>
      <c r="E288" s="35" t="n">
        <v>325500</v>
      </c>
      <c r="F288" s="36" t="n">
        <v>325500</v>
      </c>
      <c r="G288" s="33" t="inlineStr"/>
    </row>
    <row r="289" ht="17" customHeight="1">
      <c r="A289" s="38" t="inlineStr"/>
      <c r="B289" s="32" t="inlineStr">
        <is>
          <t>3AT-04623</t>
        </is>
      </c>
      <c r="C289" s="33" t="inlineStr">
        <is>
          <t>CAP,G-HANDLE</t>
        </is>
      </c>
      <c r="D289" s="34" t="n">
        <v>2100</v>
      </c>
      <c r="E289" s="35" t="n">
        <v>191100</v>
      </c>
      <c r="F289" s="36" t="n">
        <v>191100</v>
      </c>
      <c r="G289" s="33" t="inlineStr"/>
    </row>
    <row r="290" ht="17" customHeight="1">
      <c r="A290" s="39" t="inlineStr">
        <is>
          <t>트윈테크</t>
        </is>
      </c>
      <c r="B290" s="40" t="inlineStr">
        <is>
          <t>GTP-MO-0022</t>
        </is>
      </c>
      <c r="C290" s="41" t="inlineStr">
        <is>
          <t>CT CASE</t>
        </is>
      </c>
      <c r="D290" s="42" t="n">
        <v>3123</v>
      </c>
      <c r="E290" s="43" t="n">
        <v>1786356</v>
      </c>
      <c r="F290" s="44" t="n">
        <v>224856</v>
      </c>
      <c r="G290" s="41" t="inlineStr"/>
    </row>
    <row r="291" ht="17" customHeight="1">
      <c r="A291" s="46" t="inlineStr"/>
      <c r="B291" s="40" t="inlineStr">
        <is>
          <t>GTP-MO-0026</t>
        </is>
      </c>
      <c r="C291" s="41" t="inlineStr">
        <is>
          <t>CT CASE COVER</t>
        </is>
      </c>
      <c r="D291" s="42" t="n">
        <v>1230</v>
      </c>
      <c r="E291" s="43" t="n">
        <v>378840</v>
      </c>
      <c r="F291" s="44" t="n">
        <v>71340</v>
      </c>
      <c r="G291" s="41" t="inlineStr"/>
    </row>
    <row r="292" ht="17" customHeight="1">
      <c r="A292" s="31" t="inlineStr">
        <is>
          <t>신웅 이엠씨</t>
        </is>
      </c>
      <c r="B292" s="32" t="inlineStr">
        <is>
          <t>3AT-03391</t>
        </is>
      </c>
      <c r="C292" s="33" t="inlineStr">
        <is>
          <t>SC DR INDICATOR</t>
        </is>
      </c>
      <c r="D292" s="34" t="n">
        <v>3000</v>
      </c>
      <c r="E292" s="35" t="n">
        <v>2037000</v>
      </c>
      <c r="F292" s="36" t="n">
        <v>687000</v>
      </c>
      <c r="G292" s="33" t="inlineStr"/>
    </row>
    <row r="293" ht="17" customHeight="1">
      <c r="A293" s="39" t="inlineStr">
        <is>
          <t>기타</t>
        </is>
      </c>
      <c r="B293" s="40" t="inlineStr">
        <is>
          <t>GA2-AE-0005</t>
        </is>
      </c>
      <c r="C293" s="41" t="inlineStr">
        <is>
          <t>RC BOBBIN,A/C UL CT</t>
        </is>
      </c>
      <c r="D293" s="42" t="n">
        <v>4000</v>
      </c>
      <c r="E293" s="43" t="n">
        <v>1648000</v>
      </c>
      <c r="F293" s="44" t="n">
        <v>1648000</v>
      </c>
      <c r="G293" s="41" t="inlineStr"/>
    </row>
    <row r="294" ht="17" customHeight="1">
      <c r="A294" s="31" t="inlineStr">
        <is>
          <t>HS TECH</t>
        </is>
      </c>
      <c r="B294" s="32" t="inlineStr">
        <is>
          <t>4AT-06475</t>
        </is>
      </c>
      <c r="C294" s="33" t="inlineStr">
        <is>
          <t>U ROGOW BOBIN-20</t>
        </is>
      </c>
      <c r="D294" s="34" t="n">
        <v>6000</v>
      </c>
      <c r="E294" s="35" t="n">
        <v>1540200</v>
      </c>
      <c r="F294" s="36" t="n">
        <v>1540200</v>
      </c>
      <c r="G294" s="33" t="inlineStr"/>
    </row>
    <row r="295" ht="17" customHeight="1">
      <c r="A295" s="39" t="inlineStr">
        <is>
          <t>성신산전, 대신정밀</t>
        </is>
      </c>
      <c r="B295" s="40" t="inlineStr">
        <is>
          <t>72313460001</t>
        </is>
      </c>
      <c r="C295" s="41" t="inlineStr">
        <is>
          <t>TOTAL ASS'Y,MANUAL RESET BUTTON,AN AH-D E F G</t>
        </is>
      </c>
      <c r="D295" s="42" t="n">
        <v>1941</v>
      </c>
      <c r="E295" s="43" t="n">
        <v>1495476</v>
      </c>
      <c r="F295" s="44" t="n">
        <v>1495476</v>
      </c>
      <c r="G295" s="41" t="inlineStr"/>
    </row>
    <row r="296" ht="17" customHeight="1">
      <c r="A296" s="31" t="inlineStr">
        <is>
          <t>동우이엠피</t>
        </is>
      </c>
      <c r="B296" s="32" t="inlineStr">
        <is>
          <t>HG-001</t>
        </is>
      </c>
      <c r="C296" s="33" t="inlineStr">
        <is>
          <t>HG BUTTON OFF(RED)</t>
        </is>
      </c>
      <c r="D296" s="34" t="n">
        <v>3550</v>
      </c>
      <c r="E296" s="35" t="n">
        <v>745500</v>
      </c>
      <c r="F296" s="36" t="n">
        <v>497000</v>
      </c>
      <c r="G296" s="33" t="inlineStr"/>
    </row>
    <row r="297" ht="17" customHeight="1">
      <c r="A297" s="38" t="inlineStr"/>
      <c r="B297" s="32" t="inlineStr">
        <is>
          <t>HG-002</t>
        </is>
      </c>
      <c r="C297" s="33" t="inlineStr">
        <is>
          <t>HG BUTTON ON(GREEN)</t>
        </is>
      </c>
      <c r="D297" s="34" t="n">
        <v>3124</v>
      </c>
      <c r="E297" s="35" t="n">
        <v>656040</v>
      </c>
      <c r="F297" s="36" t="n">
        <v>437360</v>
      </c>
      <c r="G297" s="33" t="inlineStr"/>
    </row>
    <row r="298" ht="17" customHeight="1">
      <c r="A298" s="39" t="inlineStr">
        <is>
          <t>신성폴리테크</t>
        </is>
      </c>
      <c r="B298" s="40" t="inlineStr">
        <is>
          <t>4ME-06964</t>
        </is>
      </c>
      <c r="C298" s="41" t="inlineStr">
        <is>
          <t>ASS"Y ARM/L</t>
        </is>
      </c>
      <c r="D298" s="42" t="n">
        <v>30000</v>
      </c>
      <c r="E298" s="43" t="n">
        <v>1230000</v>
      </c>
      <c r="F298" s="44" t="n">
        <v>390000</v>
      </c>
      <c r="G298" s="41" t="inlineStr"/>
    </row>
    <row r="299" ht="17" customHeight="1">
      <c r="A299" s="31" t="inlineStr">
        <is>
          <t>SH TECH</t>
        </is>
      </c>
      <c r="B299" s="32" t="inlineStr">
        <is>
          <t>3AT-05753</t>
        </is>
      </c>
      <c r="C299" s="33" t="inlineStr">
        <is>
          <t>H-MHT LEVER BA</t>
        </is>
      </c>
      <c r="D299" s="34" t="n">
        <v>4000</v>
      </c>
      <c r="E299" s="35" t="n">
        <v>1000000</v>
      </c>
      <c r="F299" s="36" t="n">
        <v>800000</v>
      </c>
      <c r="G299" s="33" t="inlineStr"/>
    </row>
    <row r="300" ht="17" customHeight="1">
      <c r="A300" s="39" t="inlineStr">
        <is>
          <t>우림월드</t>
        </is>
      </c>
      <c r="B300" s="40" t="inlineStr">
        <is>
          <t>3AT-03632</t>
        </is>
      </c>
      <c r="C300" s="41" t="inlineStr">
        <is>
          <t>SC ARC RUNNER BASE / 40</t>
        </is>
      </c>
      <c r="D300" s="42" t="n">
        <v>2625</v>
      </c>
      <c r="E300" s="43" t="n">
        <v>766500</v>
      </c>
      <c r="F300" s="44" t="n">
        <v>766500</v>
      </c>
      <c r="G300" s="41" t="inlineStr"/>
    </row>
    <row r="301" ht="17" customHeight="1">
      <c r="A301" s="31" t="inlineStr">
        <is>
          <t>성신산전, 산전정밀</t>
        </is>
      </c>
      <c r="B301" s="32" t="inlineStr">
        <is>
          <t>55113172001</t>
        </is>
      </c>
      <c r="C301" s="33" t="inlineStr">
        <is>
          <t>GUIDE,VI,VHM,17.5kV 25kA</t>
        </is>
      </c>
      <c r="D301" s="34" t="n">
        <v>1269</v>
      </c>
      <c r="E301" s="35" t="n">
        <v>258876</v>
      </c>
      <c r="F301" s="36" t="n">
        <v>258876</v>
      </c>
      <c r="G301" s="33" t="inlineStr"/>
    </row>
    <row r="302" ht="17" customHeight="1">
      <c r="A302" s="38" t="inlineStr"/>
      <c r="B302" s="32" t="inlineStr">
        <is>
          <t>65313460106</t>
        </is>
      </c>
      <c r="C302" s="33" t="inlineStr">
        <is>
          <t>LINK,T DRAWOUT INTERLOCK,AN AH-D E F G</t>
        </is>
      </c>
      <c r="D302" s="34" t="n">
        <v>1477</v>
      </c>
      <c r="E302" s="35" t="n">
        <v>240613</v>
      </c>
      <c r="F302" s="36" t="n">
        <v>240613</v>
      </c>
      <c r="G302" s="33" t="inlineStr"/>
    </row>
    <row r="303" ht="17" customHeight="1">
      <c r="A303" s="38" t="inlineStr"/>
      <c r="B303" s="32" t="inlineStr">
        <is>
          <t>65313460105</t>
        </is>
      </c>
      <c r="C303" s="33" t="inlineStr">
        <is>
          <t>LINK,L DRAWOUT INTERLOCK,AN AH-D E F G</t>
        </is>
      </c>
      <c r="D303" s="34" t="n">
        <v>1477</v>
      </c>
      <c r="E303" s="35" t="n">
        <v>186487</v>
      </c>
      <c r="F303" s="36" t="n">
        <v>186487</v>
      </c>
      <c r="G303" s="33" t="inlineStr"/>
    </row>
    <row r="304" ht="17" customHeight="1">
      <c r="A304" s="39" t="inlineStr">
        <is>
          <t>신흥전자</t>
        </is>
      </c>
      <c r="B304" s="40" t="inlineStr">
        <is>
          <t>58423755002</t>
        </is>
      </c>
      <c r="C304" s="41" t="inlineStr">
        <is>
          <t>PLATE ASS"Y UPPER FACE ,VCS ,KTE</t>
        </is>
      </c>
      <c r="D304" s="42" t="n">
        <v>25</v>
      </c>
      <c r="E304" s="43" t="n">
        <v>331150</v>
      </c>
      <c r="F304" s="44" t="n">
        <v>331150</v>
      </c>
      <c r="G304" s="41" t="inlineStr"/>
    </row>
    <row r="305" ht="17" customHeight="1">
      <c r="A305" s="46" t="inlineStr"/>
      <c r="B305" s="40" t="inlineStr">
        <is>
          <t>58413755007</t>
        </is>
      </c>
      <c r="C305" s="41" t="inlineStr">
        <is>
          <t>PLATE,FACE,VCS(SILK) KTE</t>
        </is>
      </c>
      <c r="D305" s="42" t="n">
        <v>25</v>
      </c>
      <c r="E305" s="43" t="n">
        <v>316875</v>
      </c>
      <c r="F305" s="44" t="n">
        <v>316875</v>
      </c>
      <c r="G305" s="41" t="inlineStr"/>
    </row>
  </sheetData>
  <mergeCells count="4">
    <mergeCell ref="A2:G2"/>
    <mergeCell ref="A1:G1"/>
    <mergeCell ref="A35"/>
    <mergeCell ref="A37:G37"/>
  </mergeCells>
  <pageMargins left="0.4" right="0.4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2026-08-07T06:52:55Z</dcterms:created>
  <dcterms:modified xmlns:dcterms="http://purl.org/dc/terms/" xmlns:xsi="http://www.w3.org/2001/XMLSchema-instance" xsi:type="dcterms:W3CDTF">2026-08-07T06:52:55Z</dcterms:modified>
</cp:coreProperties>
</file>